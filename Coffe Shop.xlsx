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nu" sheetId="1" state="visible" r:id="rId3"/>
    <sheet name="Penjualan" sheetId="2" state="visible" r:id="rId4"/>
    <sheet name="READM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<sst xmlns="http://schemas.openxmlformats.org/spreadsheetml/2006/main" count="217" uniqueCount="116">
  <si>
    <t xml:space="preserve">Kode Menu</t>
  </si>
  <si>
    <t xml:space="preserve">Nama Menu</t>
  </si>
  <si>
    <t xml:space="preserve">Kategori</t>
  </si>
  <si>
    <t xml:space="preserve">Harga</t>
  </si>
  <si>
    <t xml:space="preserve">HPP</t>
  </si>
  <si>
    <t xml:space="preserve">M001</t>
  </si>
  <si>
    <t xml:space="preserve">Cappucino</t>
  </si>
  <si>
    <t xml:space="preserve">Coffe</t>
  </si>
  <si>
    <t xml:space="preserve">M002</t>
  </si>
  <si>
    <t xml:space="preserve">Americano</t>
  </si>
  <si>
    <t xml:space="preserve">M003</t>
  </si>
  <si>
    <t xml:space="preserve">Matcha latte</t>
  </si>
  <si>
    <t xml:space="preserve">Non - Coffe</t>
  </si>
  <si>
    <t xml:space="preserve">M004</t>
  </si>
  <si>
    <t xml:space="preserve">Taro Latte</t>
  </si>
  <si>
    <t xml:space="preserve">M005</t>
  </si>
  <si>
    <t xml:space="preserve">M006</t>
  </si>
  <si>
    <t xml:space="preserve">Lychee Tea</t>
  </si>
  <si>
    <t xml:space="preserve">M007</t>
  </si>
  <si>
    <t xml:space="preserve">Flat White</t>
  </si>
  <si>
    <t xml:space="preserve">M008</t>
  </si>
  <si>
    <t xml:space="preserve">Aren latte</t>
  </si>
  <si>
    <t xml:space="preserve">M009</t>
  </si>
  <si>
    <t xml:space="preserve">Mie Goreng</t>
  </si>
  <si>
    <t xml:space="preserve">Food</t>
  </si>
  <si>
    <t xml:space="preserve">M010</t>
  </si>
  <si>
    <t xml:space="preserve">Nasi Goreng</t>
  </si>
  <si>
    <t xml:space="preserve">M011</t>
  </si>
  <si>
    <t xml:space="preserve">Butterscotch Sea salt</t>
  </si>
  <si>
    <t xml:space="preserve">M012</t>
  </si>
  <si>
    <t xml:space="preserve">Coffe Mocktail</t>
  </si>
  <si>
    <t xml:space="preserve">M013</t>
  </si>
  <si>
    <t xml:space="preserve">French Fries</t>
  </si>
  <si>
    <t xml:space="preserve">Snack</t>
  </si>
  <si>
    <t xml:space="preserve">M014</t>
  </si>
  <si>
    <t xml:space="preserve">Dimsun</t>
  </si>
  <si>
    <t xml:space="preserve">M015</t>
  </si>
  <si>
    <t xml:space="preserve">Kaya Toast</t>
  </si>
  <si>
    <t xml:space="preserve">ID Transaksi</t>
  </si>
  <si>
    <t xml:space="preserve">Tanggal</t>
  </si>
  <si>
    <t xml:space="preserve">Qty</t>
  </si>
  <si>
    <t xml:space="preserve">Channel</t>
  </si>
  <si>
    <t xml:space="preserve">Harga Satuan</t>
  </si>
  <si>
    <t xml:space="preserve">Hpp Satuan</t>
  </si>
  <si>
    <t xml:space="preserve">Omzet Transaksi</t>
  </si>
  <si>
    <t xml:space="preserve">Total Hpp Transaksi</t>
  </si>
  <si>
    <t xml:space="preserve">Laba Kotor Tansaksi</t>
  </si>
  <si>
    <t xml:space="preserve">Status Profit</t>
  </si>
  <si>
    <t xml:space="preserve">TS001</t>
  </si>
  <si>
    <t xml:space="preserve">Makan Di Tempat</t>
  </si>
  <si>
    <t xml:space="preserve">TS002</t>
  </si>
  <si>
    <t xml:space="preserve">Gofood</t>
  </si>
  <si>
    <t xml:space="preserve">Total Omzet</t>
  </si>
  <si>
    <t xml:space="preserve">TS003</t>
  </si>
  <si>
    <t xml:space="preserve">Takeaway</t>
  </si>
  <si>
    <t xml:space="preserve">TS004</t>
  </si>
  <si>
    <t xml:space="preserve">Total HPP</t>
  </si>
  <si>
    <t xml:space="preserve">Non-Coffe</t>
  </si>
  <si>
    <t xml:space="preserve">TS005</t>
  </si>
  <si>
    <t xml:space="preserve">TS006</t>
  </si>
  <si>
    <t xml:space="preserve">Total Laba Kotor </t>
  </si>
  <si>
    <t xml:space="preserve">TS007</t>
  </si>
  <si>
    <t xml:space="preserve">TS008</t>
  </si>
  <si>
    <t xml:space="preserve">Rata-Rata Transaksi</t>
  </si>
  <si>
    <t xml:space="preserve">Omzet Bedasarkan Channel</t>
  </si>
  <si>
    <t xml:space="preserve">TS009</t>
  </si>
  <si>
    <t xml:space="preserve">Makan di tempat</t>
  </si>
  <si>
    <t xml:space="preserve">TS010</t>
  </si>
  <si>
    <t xml:space="preserve">TS011</t>
  </si>
  <si>
    <t xml:space="preserve">TS012</t>
  </si>
  <si>
    <t xml:space="preserve">Jumlah Produk Terjual</t>
  </si>
  <si>
    <t xml:space="preserve">TS013</t>
  </si>
  <si>
    <t xml:space="preserve">Jumlah Transaksi Channel</t>
  </si>
  <si>
    <t xml:space="preserve">TS014</t>
  </si>
  <si>
    <t xml:space="preserve">TS015</t>
  </si>
  <si>
    <t xml:space="preserve">TS016</t>
  </si>
  <si>
    <t xml:space="preserve">TS017</t>
  </si>
  <si>
    <t xml:space="preserve">TS018</t>
  </si>
  <si>
    <t xml:space="preserve">TS019</t>
  </si>
  <si>
    <t xml:space="preserve">Kategori Omzet Terbesar</t>
  </si>
  <si>
    <t xml:space="preserve">Channel dengan Transaksi Terbanyak</t>
  </si>
  <si>
    <t xml:space="preserve">TS020</t>
  </si>
  <si>
    <t xml:space="preserve">TS021</t>
  </si>
  <si>
    <t xml:space="preserve">Kategori Terlaris</t>
  </si>
  <si>
    <t xml:space="preserve">Channel dengan Omzet Terbanyak</t>
  </si>
  <si>
    <t xml:space="preserve">TS022</t>
  </si>
  <si>
    <t xml:space="preserve">TS023</t>
  </si>
  <si>
    <t xml:space="preserve">TS024</t>
  </si>
  <si>
    <t xml:space="preserve">TS025</t>
  </si>
  <si>
    <t xml:space="preserve">TS026</t>
  </si>
  <si>
    <t xml:space="preserve">TS027</t>
  </si>
  <si>
    <t xml:space="preserve">TS028</t>
  </si>
  <si>
    <t xml:space="preserve">TS029</t>
  </si>
  <si>
    <t xml:space="preserve">TS030</t>
  </si>
  <si>
    <t xml:space="preserve">TS031</t>
  </si>
  <si>
    <t xml:space="preserve">TS032</t>
  </si>
  <si>
    <t xml:space="preserve">TS033</t>
  </si>
  <si>
    <t xml:space="preserve">TS034</t>
  </si>
  <si>
    <t xml:space="preserve">TS035</t>
  </si>
  <si>
    <t xml:space="preserve">TS036</t>
  </si>
  <si>
    <t xml:space="preserve">TS037</t>
  </si>
  <si>
    <t xml:space="preserve">TS038</t>
  </si>
  <si>
    <t xml:space="preserve">TS039</t>
  </si>
  <si>
    <t xml:space="preserve">TS040</t>
  </si>
  <si>
    <t xml:space="preserve">README - SHEET COFFE SHOP</t>
  </si>
  <si>
    <t xml:space="preserve">Fungsi  : Catatan transaksi harian otomatis menghitung omzet, laba, kotor dan menganalisis menu paling laku tanpa hitung manual</t>
  </si>
  <si>
    <t xml:space="preserve">Pembagian Sheet : Menu, Penjualan</t>
  </si>
  <si>
    <t xml:space="preserve">Menu : pusat data harga jual seluruh produk</t>
  </si>
  <si>
    <t xml:space="preserve">Penjualan : tabel input transaksi harian kasir</t>
  </si>
  <si>
    <t xml:space="preserve">Cara Kerja Rumus :</t>
  </si>
  <si>
    <t xml:space="preserve">VLOOKUP : Narik nama barang, kategori, dan harga otomatis dari sheet menu hanya pakai Kode Menu</t>
  </si>
  <si>
    <t xml:space="preserve">SUM : Menghitung total seluruh omzet </t>
  </si>
  <si>
    <t xml:space="preserve">AVERAGE : Menghitung rata - rata belanjaan pelanggan</t>
  </si>
  <si>
    <t xml:space="preserve">SUM IF : Memilah omzet khusus perkategori</t>
  </si>
  <si>
    <t xml:space="preserve">COUNT IF : Memilah jumlah transaksi per kategori</t>
  </si>
  <si>
    <t xml:space="preserve">IF : Nentuin otomatis bahwa si transaksi ini itu tergolong low profit, medium ama high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</si>
</sst>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General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5"/>
      <color theme="1"/>
      <name val="Arial"/>
      <family val="0"/>
      <charset val="1"/>
    </font>
    <font>
      <sz val="13"/>
      <color theme="1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4"/>
      <color theme="1"/>
      <name val="Arial"/>
      <family val="0"/>
      <charset val="1"/>
    </font>
    <font>
      <b val="true"/>
      <sz val="13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33CCCC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17.5"/>
    <col collapsed="false" customWidth="true" hidden="false" outlineLevel="0" max="6" min="6" style="0" width="16.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customFormat="false" ht="15.75" hidden="false" customHeight="false" outlineLevel="0" collapsed="false">
      <c r="A2" s="2" t="s">
        <v>5</v>
      </c>
      <c r="B2" s="2" t="s">
        <v>6</v>
      </c>
      <c r="C2" s="2" t="s">
        <v>7</v>
      </c>
      <c r="D2" s="2" t="n">
        <v>15000</v>
      </c>
      <c r="E2" s="2" t="n">
        <v>10000</v>
      </c>
    </row>
    <row r="3" customFormat="false" ht="15.75" hidden="false" customHeight="false" outlineLevel="0" collapsed="false">
      <c r="A3" s="2" t="s">
        <v>8</v>
      </c>
      <c r="B3" s="2" t="s">
        <v>9</v>
      </c>
      <c r="C3" s="2" t="s">
        <v>7</v>
      </c>
      <c r="D3" s="2" t="n">
        <v>16000</v>
      </c>
      <c r="E3" s="2" t="n">
        <v>11000</v>
      </c>
    </row>
    <row r="4" customFormat="false" ht="15.75" hidden="false" customHeight="false" outlineLevel="0" collapsed="false">
      <c r="A4" s="2" t="s">
        <v>10</v>
      </c>
      <c r="B4" s="2" t="s">
        <v>11</v>
      </c>
      <c r="C4" s="2" t="s">
        <v>12</v>
      </c>
      <c r="D4" s="2" t="n">
        <v>20000</v>
      </c>
      <c r="E4" s="2" t="n">
        <v>15000</v>
      </c>
    </row>
    <row r="5" customFormat="false" ht="15.75" hidden="false" customHeight="false" outlineLevel="0" collapsed="false">
      <c r="A5" s="2" t="s">
        <v>13</v>
      </c>
      <c r="B5" s="2" t="s">
        <v>14</v>
      </c>
      <c r="C5" s="2" t="s">
        <v>12</v>
      </c>
      <c r="D5" s="2" t="n">
        <v>30000</v>
      </c>
      <c r="E5" s="2" t="n">
        <v>10000</v>
      </c>
    </row>
    <row r="6" customFormat="false" ht="15.75" hidden="false" customHeight="false" outlineLevel="0" collapsed="false">
      <c r="A6" s="2" t="s">
        <v>15</v>
      </c>
      <c r="B6" s="2" t="s">
        <v>6</v>
      </c>
      <c r="C6" s="2" t="s">
        <v>7</v>
      </c>
      <c r="D6" s="2" t="n">
        <v>30000</v>
      </c>
      <c r="E6" s="2" t="n">
        <v>10000</v>
      </c>
    </row>
    <row r="7" customFormat="false" ht="15.75" hidden="false" customHeight="false" outlineLevel="0" collapsed="false">
      <c r="A7" s="2" t="s">
        <v>16</v>
      </c>
      <c r="B7" s="2" t="s">
        <v>17</v>
      </c>
      <c r="C7" s="2" t="s">
        <v>12</v>
      </c>
      <c r="D7" s="2" t="n">
        <v>15000</v>
      </c>
      <c r="E7" s="2" t="n">
        <v>10000</v>
      </c>
    </row>
    <row r="8" customFormat="false" ht="15.75" hidden="false" customHeight="false" outlineLevel="0" collapsed="false">
      <c r="A8" s="2" t="s">
        <v>18</v>
      </c>
      <c r="B8" s="2" t="s">
        <v>19</v>
      </c>
      <c r="C8" s="2" t="s">
        <v>7</v>
      </c>
      <c r="D8" s="2" t="n">
        <v>20000</v>
      </c>
      <c r="E8" s="2" t="n">
        <v>10000</v>
      </c>
    </row>
    <row r="9" customFormat="false" ht="15.75" hidden="false" customHeight="false" outlineLevel="0" collapsed="false">
      <c r="A9" s="2" t="s">
        <v>20</v>
      </c>
      <c r="B9" s="2" t="s">
        <v>21</v>
      </c>
      <c r="C9" s="2" t="s">
        <v>7</v>
      </c>
      <c r="D9" s="2" t="n">
        <v>20000</v>
      </c>
      <c r="E9" s="2" t="n">
        <v>15000</v>
      </c>
    </row>
    <row r="10" customFormat="false" ht="15.75" hidden="false" customHeight="false" outlineLevel="0" collapsed="false">
      <c r="A10" s="2" t="s">
        <v>22</v>
      </c>
      <c r="B10" s="2" t="s">
        <v>23</v>
      </c>
      <c r="C10" s="2" t="s">
        <v>24</v>
      </c>
      <c r="D10" s="2" t="n">
        <v>25000</v>
      </c>
      <c r="E10" s="2" t="n">
        <v>15000</v>
      </c>
    </row>
    <row r="11" customFormat="false" ht="15.75" hidden="false" customHeight="false" outlineLevel="0" collapsed="false">
      <c r="A11" s="2" t="s">
        <v>25</v>
      </c>
      <c r="B11" s="2" t="s">
        <v>26</v>
      </c>
      <c r="C11" s="2" t="s">
        <v>24</v>
      </c>
      <c r="D11" s="2" t="n">
        <v>30000</v>
      </c>
      <c r="E11" s="2" t="n">
        <v>20000</v>
      </c>
    </row>
    <row r="12" customFormat="false" ht="15.75" hidden="false" customHeight="false" outlineLevel="0" collapsed="false">
      <c r="A12" s="2" t="s">
        <v>27</v>
      </c>
      <c r="B12" s="2" t="s">
        <v>28</v>
      </c>
      <c r="C12" s="2" t="s">
        <v>7</v>
      </c>
      <c r="D12" s="2" t="n">
        <v>25000</v>
      </c>
      <c r="E12" s="2" t="n">
        <v>20000</v>
      </c>
    </row>
    <row r="13" customFormat="false" ht="15.75" hidden="false" customHeight="false" outlineLevel="0" collapsed="false">
      <c r="A13" s="2" t="s">
        <v>29</v>
      </c>
      <c r="B13" s="2" t="s">
        <v>30</v>
      </c>
      <c r="C13" s="2" t="s">
        <v>7</v>
      </c>
      <c r="D13" s="2" t="n">
        <v>30000</v>
      </c>
      <c r="E13" s="2" t="n">
        <v>20000</v>
      </c>
    </row>
    <row r="14" customFormat="false" ht="15.75" hidden="false" customHeight="false" outlineLevel="0" collapsed="false">
      <c r="A14" s="2" t="s">
        <v>31</v>
      </c>
      <c r="B14" s="2" t="s">
        <v>32</v>
      </c>
      <c r="C14" s="2" t="s">
        <v>33</v>
      </c>
      <c r="D14" s="2" t="n">
        <v>20000</v>
      </c>
      <c r="E14" s="2" t="n">
        <v>10000</v>
      </c>
    </row>
    <row r="15" customFormat="false" ht="15.75" hidden="false" customHeight="false" outlineLevel="0" collapsed="false">
      <c r="A15" s="2" t="s">
        <v>34</v>
      </c>
      <c r="B15" s="2" t="s">
        <v>35</v>
      </c>
      <c r="C15" s="2" t="s">
        <v>33</v>
      </c>
      <c r="D15" s="2" t="n">
        <v>25000</v>
      </c>
      <c r="E15" s="2" t="n">
        <v>5000</v>
      </c>
    </row>
    <row r="16" customFormat="false" ht="15.75" hidden="false" customHeight="false" outlineLevel="0" collapsed="false">
      <c r="A16" s="2" t="s">
        <v>36</v>
      </c>
      <c r="B16" s="2" t="s">
        <v>37</v>
      </c>
      <c r="C16" s="2" t="s">
        <v>33</v>
      </c>
      <c r="D16" s="2" t="n">
        <v>25000</v>
      </c>
      <c r="E16" s="2" t="n">
        <v>15000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4.25"/>
    <col collapsed="false" customWidth="true" hidden="false" outlineLevel="0" max="3" min="3" style="0" width="10.51"/>
    <col collapsed="false" customWidth="true" hidden="false" outlineLevel="0" max="4" min="4" style="0" width="10.25"/>
    <col collapsed="false" customWidth="true" hidden="false" outlineLevel="0" max="5" min="5" style="0" width="17.25"/>
    <col collapsed="false" customWidth="true" hidden="false" outlineLevel="0" max="6" min="6" style="0" width="21.63"/>
    <col collapsed="false" customWidth="true" hidden="false" outlineLevel="0" max="10" min="10" style="0" width="17.25"/>
    <col collapsed="false" customWidth="true" hidden="false" outlineLevel="0" max="11" min="11" style="0" width="18.63"/>
    <col collapsed="false" customWidth="true" hidden="false" outlineLevel="0" max="12" min="12" style="0" width="19.38"/>
    <col collapsed="false" customWidth="true" hidden="false" outlineLevel="0" max="13" min="13" style="0" width="17"/>
    <col collapsed="false" customWidth="true" hidden="false" outlineLevel="0" max="14" min="14" style="0" width="21.25"/>
    <col collapsed="false" customWidth="true" hidden="false" outlineLevel="0" max="15" min="15" style="0" width="28.88"/>
    <col collapsed="false" customWidth="true" hidden="false" outlineLevel="0" max="16" min="16" style="0" width="22.38"/>
    <col collapsed="false" customWidth="true" hidden="false" outlineLevel="0" max="17" min="17" style="0" width="25.75"/>
  </cols>
  <sheetData>
    <row r="1" customFormat="false" ht="15.75" hidden="false" customHeight="false" outlineLevel="0" collapsed="false">
      <c r="A1" s="1" t="s">
        <v>38</v>
      </c>
      <c r="B1" s="1" t="s">
        <v>39</v>
      </c>
      <c r="C1" s="1" t="s">
        <v>0</v>
      </c>
      <c r="D1" s="1" t="s">
        <v>40</v>
      </c>
      <c r="E1" s="3" t="s">
        <v>41</v>
      </c>
      <c r="F1" s="1" t="s">
        <v>1</v>
      </c>
      <c r="G1" s="1" t="s">
        <v>2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4"/>
      <c r="O1" s="4"/>
      <c r="P1" s="4"/>
      <c r="Q1" s="4"/>
    </row>
    <row r="2" customFormat="false" ht="15.75" hidden="false" customHeight="false" outlineLevel="0" collapsed="false">
      <c r="A2" s="2" t="s">
        <v>48</v>
      </c>
      <c r="B2" s="5" t="n">
        <v>46143</v>
      </c>
      <c r="C2" s="2" t="s">
        <v>5</v>
      </c>
      <c r="D2" s="2" t="n">
        <v>4</v>
      </c>
      <c r="E2" s="6" t="s">
        <v>49</v>
      </c>
      <c r="F2" s="2" t="str">
        <f aca="false">VLOOKUP(C2, Menu!$A$2:$E$16, 2, FALSE())</f>
        <v>Cappucino</v>
      </c>
      <c r="G2" s="2" t="str">
        <f aca="false">VLOOKUP(C2, Menu!$A$2:$E$16, 3, FALSE())</f>
        <v>Coffe</v>
      </c>
      <c r="H2" s="2" t="n">
        <f aca="false">VLOOKUP(C2, Menu!$A$2:$E$16, 4, FALSE())</f>
        <v>15000</v>
      </c>
      <c r="I2" s="2" t="n">
        <f aca="false">VLOOKUP(C2, Menu!$A$2:$E$16, 5, FALSE())</f>
        <v>10000</v>
      </c>
      <c r="J2" s="2" t="n">
        <f aca="false">D2*H2</f>
        <v>60000</v>
      </c>
      <c r="K2" s="2" t="n">
        <f aca="false">D2*I2</f>
        <v>40000</v>
      </c>
      <c r="L2" s="2" t="n">
        <f aca="false">J2-K2</f>
        <v>20000</v>
      </c>
      <c r="M2" s="4" t="str">
        <f aca="false">IF(L2&gt;=100000, "HIGH PROFIT", IF(L2&gt;=50000, "MEDIUM PROFIT", "LOW PROFIT"))</f>
        <v>LOW PROFIT</v>
      </c>
      <c r="N2" s="4"/>
      <c r="O2" s="4"/>
      <c r="P2" s="4"/>
      <c r="Q2" s="4"/>
    </row>
    <row r="3" customFormat="false" ht="18.55" hidden="false" customHeight="false" outlineLevel="0" collapsed="false">
      <c r="A3" s="2" t="s">
        <v>50</v>
      </c>
      <c r="B3" s="5" t="n">
        <v>46144</v>
      </c>
      <c r="C3" s="2" t="s">
        <v>8</v>
      </c>
      <c r="D3" s="2" t="n">
        <v>8</v>
      </c>
      <c r="E3" s="6" t="s">
        <v>51</v>
      </c>
      <c r="F3" s="2" t="str">
        <f aca="false">VLOOKUP(C3, Menu!$A$2:$E$16, 2, FALSE())</f>
        <v>Americano</v>
      </c>
      <c r="G3" s="2" t="str">
        <f aca="false">VLOOKUP(C3, Menu!$A$2:$E$16, 3, FALSE())</f>
        <v>Coffe</v>
      </c>
      <c r="H3" s="2" t="n">
        <f aca="false">VLOOKUP(C3, Menu!$A$2:$E$16, 4, FALSE())</f>
        <v>16000</v>
      </c>
      <c r="I3" s="2" t="n">
        <f aca="false">VLOOKUP(C3, Menu!$A$2:$E$16, 5, FALSE())</f>
        <v>11000</v>
      </c>
      <c r="J3" s="2" t="n">
        <f aca="false">D3*H3</f>
        <v>128000</v>
      </c>
      <c r="K3" s="2" t="n">
        <f aca="false">D3*I3</f>
        <v>88000</v>
      </c>
      <c r="L3" s="2" t="n">
        <f aca="false">J3-K3</f>
        <v>40000</v>
      </c>
      <c r="M3" s="4" t="str">
        <f aca="false">IF(L3&gt;=100000, "HIGH PROFIT", IF(L3&gt;=50000, "MEDIUM PROFIT", "LOW PROFIT"))</f>
        <v>LOW PROFIT</v>
      </c>
      <c r="N3" s="4"/>
      <c r="O3" s="7" t="s">
        <v>52</v>
      </c>
      <c r="P3" s="4"/>
      <c r="Q3" s="7" t="s">
        <v>2</v>
      </c>
    </row>
    <row r="4" customFormat="false" ht="15.75" hidden="false" customHeight="false" outlineLevel="0" collapsed="false">
      <c r="A4" s="2" t="s">
        <v>53</v>
      </c>
      <c r="B4" s="5" t="n">
        <v>46145</v>
      </c>
      <c r="C4" s="2" t="s">
        <v>10</v>
      </c>
      <c r="D4" s="2" t="n">
        <v>6</v>
      </c>
      <c r="E4" s="6" t="s">
        <v>54</v>
      </c>
      <c r="F4" s="2" t="str">
        <f aca="false">VLOOKUP(C4, Menu!$A$2:$E$16, 2, FALSE())</f>
        <v>Matcha latte</v>
      </c>
      <c r="G4" s="2" t="str">
        <f aca="false">VLOOKUP(C4, Menu!$A$2:$E$16, 3, FALSE())</f>
        <v>Non - Coffe</v>
      </c>
      <c r="H4" s="2" t="n">
        <f aca="false">VLOOKUP(C4, Menu!$A$2:$E$16, 4, FALSE())</f>
        <v>20000</v>
      </c>
      <c r="I4" s="2" t="n">
        <f aca="false">VLOOKUP(C4, Menu!$A$2:$E$16, 5, FALSE())</f>
        <v>15000</v>
      </c>
      <c r="J4" s="2" t="n">
        <f aca="false">D4*H4</f>
        <v>120000</v>
      </c>
      <c r="K4" s="2" t="n">
        <f aca="false">D4*I4</f>
        <v>90000</v>
      </c>
      <c r="L4" s="2" t="n">
        <f aca="false">J4-K4</f>
        <v>30000</v>
      </c>
      <c r="M4" s="4" t="str">
        <f aca="false">IF(L4&gt;=100000, "HIGH PROFIT", IF(L4&gt;=50000, "MEDIUM PROFIT", "LOW PROFIT"))</f>
        <v>LOW PROFIT</v>
      </c>
      <c r="N4" s="4"/>
      <c r="O4" s="8" t="n">
        <f aca="false">SUM(J2:J41)</f>
        <v>5420000</v>
      </c>
      <c r="P4" s="4"/>
      <c r="Q4" s="9" t="s">
        <v>7</v>
      </c>
      <c r="R4" s="10" t="n">
        <f aca="false">SUMIF($G$2:$G$41, "Coffe", $J$2:$J$41)</f>
        <v>2360000</v>
      </c>
    </row>
    <row r="5" customFormat="false" ht="18.55" hidden="false" customHeight="false" outlineLevel="0" collapsed="false">
      <c r="A5" s="2" t="s">
        <v>55</v>
      </c>
      <c r="B5" s="5" t="n">
        <v>46146</v>
      </c>
      <c r="C5" s="2" t="s">
        <v>13</v>
      </c>
      <c r="D5" s="2" t="n">
        <v>4</v>
      </c>
      <c r="E5" s="6" t="s">
        <v>49</v>
      </c>
      <c r="F5" s="2" t="str">
        <f aca="false">VLOOKUP(C5, Menu!$A$2:$E$16, 2, FALSE())</f>
        <v>Taro Latte</v>
      </c>
      <c r="G5" s="2" t="str">
        <f aca="false">VLOOKUP(C5, Menu!$A$2:$E$16, 3, FALSE())</f>
        <v>Non - Coffe</v>
      </c>
      <c r="H5" s="2" t="n">
        <f aca="false">VLOOKUP(C5, Menu!$A$2:$E$16, 4, FALSE())</f>
        <v>30000</v>
      </c>
      <c r="I5" s="2" t="n">
        <f aca="false">VLOOKUP(C5, Menu!$A$2:$E$16, 5, FALSE())</f>
        <v>10000</v>
      </c>
      <c r="J5" s="2" t="n">
        <f aca="false">D5*H5</f>
        <v>120000</v>
      </c>
      <c r="K5" s="2" t="n">
        <f aca="false">D5*I5</f>
        <v>40000</v>
      </c>
      <c r="L5" s="2" t="n">
        <f aca="false">J5-K5</f>
        <v>80000</v>
      </c>
      <c r="M5" s="4" t="str">
        <f aca="false">IF(L5&gt;=100000, "HIGH PROFIT", IF(L5&gt;=50000, "MEDIUM PROFIT", "LOW PROFIT"))</f>
        <v>MEDIUM PROFIT</v>
      </c>
      <c r="N5" s="4"/>
      <c r="O5" s="7" t="s">
        <v>56</v>
      </c>
      <c r="P5" s="4"/>
      <c r="Q5" s="11" t="s">
        <v>57</v>
      </c>
      <c r="R5" s="10" t="n">
        <f aca="false">SUMIF($G$2:$G$41, "Non - Coffe", $J$2:$J$41)</f>
        <v>1160000</v>
      </c>
    </row>
    <row r="6" customFormat="false" ht="15.75" hidden="false" customHeight="false" outlineLevel="0" collapsed="false">
      <c r="A6" s="2" t="s">
        <v>58</v>
      </c>
      <c r="B6" s="5" t="n">
        <v>46147</v>
      </c>
      <c r="C6" s="2" t="s">
        <v>15</v>
      </c>
      <c r="D6" s="2" t="n">
        <v>9</v>
      </c>
      <c r="E6" s="6" t="s">
        <v>51</v>
      </c>
      <c r="F6" s="2" t="str">
        <f aca="false">VLOOKUP(C6, Menu!$A$2:$E$16, 2, FALSE())</f>
        <v>Cappucino</v>
      </c>
      <c r="G6" s="2" t="str">
        <f aca="false">VLOOKUP(C6, Menu!$A$2:$E$16, 3, FALSE())</f>
        <v>Coffe</v>
      </c>
      <c r="H6" s="2" t="n">
        <f aca="false">VLOOKUP(C6, Menu!$A$2:$E$16, 4, FALSE())</f>
        <v>30000</v>
      </c>
      <c r="I6" s="2" t="n">
        <f aca="false">VLOOKUP(C6, Menu!$A$2:$E$16, 5, FALSE())</f>
        <v>10000</v>
      </c>
      <c r="J6" s="2" t="n">
        <f aca="false">D6*H6</f>
        <v>270000</v>
      </c>
      <c r="K6" s="2" t="n">
        <f aca="false">D6*I6</f>
        <v>90000</v>
      </c>
      <c r="L6" s="2" t="n">
        <f aca="false">J6-K6</f>
        <v>180000</v>
      </c>
      <c r="M6" s="4" t="str">
        <f aca="false">IF(L6&gt;=100000, "HIGH PROFIT", IF(L6&gt;=50000, "MEDIUM PROFIT", "LOW PROFIT"))</f>
        <v>HIGH PROFIT</v>
      </c>
      <c r="N6" s="4"/>
      <c r="O6" s="8" t="n">
        <f aca="false">SUM(K2:K41)</f>
        <v>3100000</v>
      </c>
      <c r="P6" s="4"/>
      <c r="Q6" s="11" t="s">
        <v>24</v>
      </c>
      <c r="R6" s="10" t="n">
        <f aca="false">SUMIF($G$2:$G$41, "Food", $J$2:$J$41)</f>
        <v>1145000</v>
      </c>
    </row>
    <row r="7" customFormat="false" ht="18.55" hidden="false" customHeight="false" outlineLevel="0" collapsed="false">
      <c r="A7" s="2" t="s">
        <v>59</v>
      </c>
      <c r="B7" s="5" t="n">
        <v>46148</v>
      </c>
      <c r="C7" s="2" t="s">
        <v>16</v>
      </c>
      <c r="D7" s="2" t="n">
        <v>4</v>
      </c>
      <c r="E7" s="6" t="s">
        <v>54</v>
      </c>
      <c r="F7" s="2" t="str">
        <f aca="false">VLOOKUP(C7, Menu!$A$2:$E$16, 2, FALSE())</f>
        <v>Lychee Tea</v>
      </c>
      <c r="G7" s="2" t="str">
        <f aca="false">VLOOKUP(C7, Menu!$A$2:$E$16, 3, FALSE())</f>
        <v>Non - Coffe</v>
      </c>
      <c r="H7" s="2" t="n">
        <f aca="false">VLOOKUP(C7, Menu!$A$2:$E$16, 4, FALSE())</f>
        <v>15000</v>
      </c>
      <c r="I7" s="2" t="n">
        <f aca="false">VLOOKUP(C7, Menu!$A$2:$E$16, 5, FALSE())</f>
        <v>10000</v>
      </c>
      <c r="J7" s="2" t="n">
        <f aca="false">D7*H7</f>
        <v>60000</v>
      </c>
      <c r="K7" s="2" t="n">
        <f aca="false">D7*I7</f>
        <v>40000</v>
      </c>
      <c r="L7" s="2" t="n">
        <f aca="false">J7-K7</f>
        <v>20000</v>
      </c>
      <c r="M7" s="4" t="str">
        <f aca="false">IF(L7&gt;=100000, "HIGH PROFIT", IF(L7&gt;=50000, "MEDIUM PROFIT", "LOW PROFIT"))</f>
        <v>LOW PROFIT</v>
      </c>
      <c r="N7" s="4"/>
      <c r="O7" s="7" t="s">
        <v>60</v>
      </c>
      <c r="P7" s="4"/>
      <c r="Q7" s="11" t="s">
        <v>33</v>
      </c>
      <c r="R7" s="10" t="n">
        <f aca="false">SUMIF($G$2:$G$41, "Snack", $J$2:$J$41)</f>
        <v>755000</v>
      </c>
    </row>
    <row r="8" customFormat="false" ht="15.75" hidden="false" customHeight="false" outlineLevel="0" collapsed="false">
      <c r="A8" s="2" t="s">
        <v>61</v>
      </c>
      <c r="B8" s="5" t="n">
        <v>46149</v>
      </c>
      <c r="C8" s="2" t="s">
        <v>18</v>
      </c>
      <c r="D8" s="2" t="n">
        <v>3</v>
      </c>
      <c r="E8" s="6" t="s">
        <v>49</v>
      </c>
      <c r="F8" s="2" t="str">
        <f aca="false">VLOOKUP(C8, Menu!$A$2:$E$16, 2, FALSE())</f>
        <v>Flat White</v>
      </c>
      <c r="G8" s="2" t="str">
        <f aca="false">VLOOKUP(C8, Menu!$A$2:$E$16, 3, FALSE())</f>
        <v>Coffe</v>
      </c>
      <c r="H8" s="2" t="n">
        <f aca="false">VLOOKUP(C8, Menu!$A$2:$E$16, 4, FALSE())</f>
        <v>20000</v>
      </c>
      <c r="I8" s="2" t="n">
        <f aca="false">VLOOKUP(C8, Menu!$A$2:$E$16, 5, FALSE())</f>
        <v>10000</v>
      </c>
      <c r="J8" s="2" t="n">
        <f aca="false">D8*H8</f>
        <v>60000</v>
      </c>
      <c r="K8" s="2" t="n">
        <f aca="false">D8*I8</f>
        <v>30000</v>
      </c>
      <c r="L8" s="2" t="n">
        <f aca="false">J8-K8</f>
        <v>30000</v>
      </c>
      <c r="M8" s="4" t="str">
        <f aca="false">IF(L8&gt;=100000, "HIGH PROFIT", IF(L8&gt;=50000, "MEDIUM PROFIT", "LOW PROFIT"))</f>
        <v>LOW PROFIT</v>
      </c>
      <c r="N8" s="4"/>
      <c r="O8" s="8" t="n">
        <f aca="false">SUM(L2:L41)</f>
        <v>2320000</v>
      </c>
      <c r="P8" s="4"/>
      <c r="Q8" s="4"/>
    </row>
    <row r="9" customFormat="false" ht="18.55" hidden="false" customHeight="false" outlineLevel="0" collapsed="false">
      <c r="A9" s="2" t="s">
        <v>62</v>
      </c>
      <c r="B9" s="5" t="n">
        <v>46150</v>
      </c>
      <c r="C9" s="2" t="s">
        <v>20</v>
      </c>
      <c r="D9" s="2" t="n">
        <v>5</v>
      </c>
      <c r="E9" s="6" t="s">
        <v>51</v>
      </c>
      <c r="F9" s="2" t="str">
        <f aca="false">VLOOKUP(C9, Menu!$A$2:$E$16, 2, FALSE())</f>
        <v>Aren latte</v>
      </c>
      <c r="G9" s="2" t="str">
        <f aca="false">VLOOKUP(C9, Menu!$A$2:$E$16, 3, FALSE())</f>
        <v>Coffe</v>
      </c>
      <c r="H9" s="2" t="n">
        <f aca="false">VLOOKUP(C9, Menu!$A$2:$E$16, 4, FALSE())</f>
        <v>20000</v>
      </c>
      <c r="I9" s="2" t="n">
        <f aca="false">VLOOKUP(C9, Menu!$A$2:$E$16, 5, FALSE())</f>
        <v>15000</v>
      </c>
      <c r="J9" s="2" t="n">
        <f aca="false">D9*H9</f>
        <v>100000</v>
      </c>
      <c r="K9" s="2" t="n">
        <f aca="false">D9*I9</f>
        <v>75000</v>
      </c>
      <c r="L9" s="2" t="n">
        <f aca="false">J9-K9</f>
        <v>25000</v>
      </c>
      <c r="M9" s="4" t="str">
        <f aca="false">IF(L9&gt;=100000, "HIGH PROFIT", IF(L9&gt;=50000, "MEDIUM PROFIT", "LOW PROFIT"))</f>
        <v>LOW PROFIT</v>
      </c>
      <c r="O9" s="12" t="s">
        <v>63</v>
      </c>
      <c r="Q9" s="13" t="s">
        <v>64</v>
      </c>
      <c r="R9" s="13"/>
    </row>
    <row r="10" customFormat="false" ht="15.75" hidden="false" customHeight="false" outlineLevel="0" collapsed="false">
      <c r="A10" s="2" t="s">
        <v>65</v>
      </c>
      <c r="B10" s="5" t="n">
        <v>46151</v>
      </c>
      <c r="C10" s="2" t="s">
        <v>22</v>
      </c>
      <c r="D10" s="2" t="n">
        <v>8</v>
      </c>
      <c r="E10" s="6" t="s">
        <v>54</v>
      </c>
      <c r="F10" s="2" t="str">
        <f aca="false">VLOOKUP(C10, Menu!$A$2:$E$16, 2, FALSE())</f>
        <v>Mie Goreng</v>
      </c>
      <c r="G10" s="2" t="str">
        <f aca="false">VLOOKUP(C10, Menu!$A$2:$E$16, 3, FALSE())</f>
        <v>Food</v>
      </c>
      <c r="H10" s="2" t="n">
        <f aca="false">VLOOKUP(C10, Menu!$A$2:$E$16, 4, FALSE())</f>
        <v>25000</v>
      </c>
      <c r="I10" s="2" t="n">
        <f aca="false">VLOOKUP(C10, Menu!$A$2:$E$16, 5, FALSE())</f>
        <v>15000</v>
      </c>
      <c r="J10" s="2" t="n">
        <f aca="false">D10*H10</f>
        <v>200000</v>
      </c>
      <c r="K10" s="2" t="n">
        <f aca="false">D10*I10</f>
        <v>120000</v>
      </c>
      <c r="L10" s="2" t="n">
        <f aca="false">J10-K10</f>
        <v>80000</v>
      </c>
      <c r="M10" s="4" t="str">
        <f aca="false">IF(L10&gt;=100000, "HIGH PROFIT", IF(L10&gt;=50000, "MEDIUM PROFIT", "LOW PROFIT"))</f>
        <v>MEDIUM PROFIT</v>
      </c>
      <c r="O10" s="14" t="n">
        <f aca="false">AVERAGE(H2:H41)</f>
        <v>22825</v>
      </c>
      <c r="Q10" s="10" t="s">
        <v>66</v>
      </c>
      <c r="R10" s="10" t="n">
        <f aca="false">SUMIF($E$2:$E$41, "Makan Di Tempat", $J$2:$J$41)</f>
        <v>2055000</v>
      </c>
    </row>
    <row r="11" customFormat="false" ht="15.75" hidden="false" customHeight="false" outlineLevel="0" collapsed="false">
      <c r="A11" s="2" t="s">
        <v>67</v>
      </c>
      <c r="B11" s="5" t="n">
        <v>46152</v>
      </c>
      <c r="C11" s="2" t="s">
        <v>25</v>
      </c>
      <c r="D11" s="2" t="n">
        <v>9</v>
      </c>
      <c r="E11" s="6" t="s">
        <v>49</v>
      </c>
      <c r="F11" s="2" t="str">
        <f aca="false">VLOOKUP(C11, Menu!$A$2:$E$16, 2, FALSE())</f>
        <v>Nasi Goreng</v>
      </c>
      <c r="G11" s="2" t="str">
        <f aca="false">VLOOKUP(C11, Menu!$A$2:$E$16, 3, FALSE())</f>
        <v>Food</v>
      </c>
      <c r="H11" s="2" t="n">
        <f aca="false">VLOOKUP(C11, Menu!$A$2:$E$16, 4, FALSE())</f>
        <v>30000</v>
      </c>
      <c r="I11" s="2" t="n">
        <f aca="false">VLOOKUP(C11, Menu!$A$2:$E$16, 5, FALSE())</f>
        <v>20000</v>
      </c>
      <c r="J11" s="2" t="n">
        <f aca="false">D11*H11</f>
        <v>270000</v>
      </c>
      <c r="K11" s="2" t="n">
        <f aca="false">D11*I11</f>
        <v>180000</v>
      </c>
      <c r="L11" s="2" t="n">
        <f aca="false">J11-K11</f>
        <v>90000</v>
      </c>
      <c r="M11" s="4" t="str">
        <f aca="false">IF(L11&gt;=100000, "HIGH PROFIT", IF(L11&gt;=50000, "MEDIUM PROFIT", "LOW PROFIT"))</f>
        <v>MEDIUM PROFIT</v>
      </c>
      <c r="O11" s="15"/>
      <c r="Q11" s="10" t="s">
        <v>54</v>
      </c>
      <c r="R11" s="10" t="n">
        <f aca="false">SUMIF($E$2:$E$41, "Takeaway", $J$2:$J$41)</f>
        <v>1510000</v>
      </c>
    </row>
    <row r="12" customFormat="false" ht="18.55" hidden="false" customHeight="false" outlineLevel="0" collapsed="false">
      <c r="A12" s="2" t="s">
        <v>68</v>
      </c>
      <c r="B12" s="5" t="n">
        <v>46153</v>
      </c>
      <c r="C12" s="2" t="s">
        <v>27</v>
      </c>
      <c r="D12" s="2" t="n">
        <v>8</v>
      </c>
      <c r="E12" s="6" t="s">
        <v>51</v>
      </c>
      <c r="F12" s="2" t="str">
        <f aca="false">VLOOKUP(C12, Menu!$A$2:$E$16, 2, FALSE())</f>
        <v>Butterscotch Sea salt</v>
      </c>
      <c r="G12" s="2" t="str">
        <f aca="false">VLOOKUP(C12, Menu!$A$2:$E$16, 3, FALSE())</f>
        <v>Coffe</v>
      </c>
      <c r="H12" s="2" t="n">
        <f aca="false">VLOOKUP(C12, Menu!$A$2:$E$16, 4, FALSE())</f>
        <v>25000</v>
      </c>
      <c r="I12" s="2" t="n">
        <f aca="false">VLOOKUP(C12, Menu!$A$2:$E$16, 5, FALSE())</f>
        <v>20000</v>
      </c>
      <c r="J12" s="2" t="n">
        <f aca="false">D12*H12</f>
        <v>200000</v>
      </c>
      <c r="K12" s="2" t="n">
        <f aca="false">D12*I12</f>
        <v>160000</v>
      </c>
      <c r="L12" s="2" t="n">
        <f aca="false">J12-K12</f>
        <v>40000</v>
      </c>
      <c r="M12" s="4" t="str">
        <f aca="false">IF(L12&gt;=100000, "HIGH PROFIT", IF(L12&gt;=50000, "MEDIUM PROFIT", "LOW PROFIT"))</f>
        <v>LOW PROFIT</v>
      </c>
      <c r="O12" s="16"/>
      <c r="Q12" s="10" t="s">
        <v>51</v>
      </c>
      <c r="R12" s="10" t="n">
        <f aca="false">SUMIF($E$2:$E$41, "Gofood", $J$2:$J$41)</f>
        <v>1855000</v>
      </c>
    </row>
    <row r="13" customFormat="false" ht="18.55" hidden="false" customHeight="false" outlineLevel="0" collapsed="false">
      <c r="A13" s="2" t="s">
        <v>69</v>
      </c>
      <c r="B13" s="5" t="n">
        <v>46154</v>
      </c>
      <c r="C13" s="2" t="s">
        <v>29</v>
      </c>
      <c r="D13" s="2" t="n">
        <v>5</v>
      </c>
      <c r="E13" s="6" t="s">
        <v>54</v>
      </c>
      <c r="F13" s="2" t="str">
        <f aca="false">VLOOKUP(C13, Menu!$A$2:$E$16, 2, FALSE())</f>
        <v>Coffe Mocktail</v>
      </c>
      <c r="G13" s="2" t="str">
        <f aca="false">VLOOKUP(C13, Menu!$A$2:$E$16, 3, FALSE())</f>
        <v>Coffe</v>
      </c>
      <c r="H13" s="2" t="n">
        <f aca="false">VLOOKUP(C13, Menu!$A$2:$E$16, 4, FALSE())</f>
        <v>30000</v>
      </c>
      <c r="I13" s="2" t="n">
        <f aca="false">VLOOKUP(C13, Menu!$A$2:$E$16, 5, FALSE())</f>
        <v>20000</v>
      </c>
      <c r="J13" s="2" t="n">
        <f aca="false">D13*H13</f>
        <v>150000</v>
      </c>
      <c r="K13" s="2" t="n">
        <f aca="false">D13*I13</f>
        <v>100000</v>
      </c>
      <c r="L13" s="2" t="n">
        <f aca="false">J13-K13</f>
        <v>50000</v>
      </c>
      <c r="M13" s="4" t="str">
        <f aca="false">IF(L13&gt;=100000, "HIGH PROFIT", IF(L13&gt;=50000, "MEDIUM PROFIT", "LOW PROFIT"))</f>
        <v>MEDIUM PROFIT</v>
      </c>
      <c r="O13" s="12" t="s">
        <v>70</v>
      </c>
    </row>
    <row r="14" customFormat="false" ht="18.55" hidden="false" customHeight="false" outlineLevel="0" collapsed="false">
      <c r="A14" s="2" t="s">
        <v>71</v>
      </c>
      <c r="B14" s="5" t="n">
        <v>46155</v>
      </c>
      <c r="C14" s="2" t="s">
        <v>31</v>
      </c>
      <c r="D14" s="2" t="n">
        <v>3</v>
      </c>
      <c r="E14" s="6" t="s">
        <v>49</v>
      </c>
      <c r="F14" s="2" t="str">
        <f aca="false">VLOOKUP(C14, Menu!$A$2:$E$16, 2, FALSE())</f>
        <v>French Fries</v>
      </c>
      <c r="G14" s="2" t="str">
        <f aca="false">VLOOKUP(C14, Menu!$A$2:$E$16, 3, FALSE())</f>
        <v>Snack</v>
      </c>
      <c r="H14" s="2" t="n">
        <f aca="false">VLOOKUP(C14, Menu!$A$2:$E$16, 4, FALSE())</f>
        <v>20000</v>
      </c>
      <c r="I14" s="2" t="n">
        <f aca="false">VLOOKUP(C14, Menu!$A$2:$E$16, 5, FALSE())</f>
        <v>10000</v>
      </c>
      <c r="J14" s="2" t="n">
        <f aca="false">D14*H14</f>
        <v>60000</v>
      </c>
      <c r="K14" s="2" t="n">
        <f aca="false">D14*I14</f>
        <v>30000</v>
      </c>
      <c r="L14" s="2" t="n">
        <f aca="false">J14-K14</f>
        <v>30000</v>
      </c>
      <c r="M14" s="4" t="str">
        <f aca="false">IF(L14&gt;=100000, "HIGH PROFIT", IF(L14&gt;=50000, "MEDIUM PROFIT", "LOW PROFIT"))</f>
        <v>LOW PROFIT</v>
      </c>
      <c r="O14" s="17" t="n">
        <f aca="false">SUMIF($G$2:$G$41, "Coffe", $D$2:$D$41)</f>
        <v>109</v>
      </c>
      <c r="Q14" s="18" t="s">
        <v>72</v>
      </c>
      <c r="R14" s="18"/>
    </row>
    <row r="15" customFormat="false" ht="15.75" hidden="false" customHeight="false" outlineLevel="0" collapsed="false">
      <c r="A15" s="2" t="s">
        <v>73</v>
      </c>
      <c r="B15" s="5" t="n">
        <v>46156</v>
      </c>
      <c r="C15" s="2" t="s">
        <v>34</v>
      </c>
      <c r="D15" s="2" t="n">
        <v>8</v>
      </c>
      <c r="E15" s="6" t="s">
        <v>51</v>
      </c>
      <c r="F15" s="2" t="str">
        <f aca="false">VLOOKUP(C15, Menu!$A$2:$E$16, 2, FALSE())</f>
        <v>Dimsun</v>
      </c>
      <c r="G15" s="2" t="str">
        <f aca="false">VLOOKUP(C15, Menu!$A$2:$E$16, 3, FALSE())</f>
        <v>Snack</v>
      </c>
      <c r="H15" s="2" t="n">
        <f aca="false">VLOOKUP(C15, Menu!$A$2:$E$16, 4, FALSE())</f>
        <v>25000</v>
      </c>
      <c r="I15" s="2" t="n">
        <f aca="false">VLOOKUP(C15, Menu!$A$2:$E$16, 5, FALSE())</f>
        <v>5000</v>
      </c>
      <c r="J15" s="2" t="n">
        <f aca="false">D15*H15</f>
        <v>200000</v>
      </c>
      <c r="K15" s="2" t="n">
        <f aca="false">D15*I15</f>
        <v>40000</v>
      </c>
      <c r="L15" s="2" t="n">
        <f aca="false">J15-K15</f>
        <v>160000</v>
      </c>
      <c r="M15" s="4" t="str">
        <f aca="false">IF(L15&gt;=100000, "HIGH PROFIT", IF(L15&gt;=50000, "MEDIUM PROFIT", "LOW PROFIT"))</f>
        <v>HIGH PROFIT</v>
      </c>
      <c r="O15" s="17" t="n">
        <f aca="false">SUMIF($G$2:$G$41, "Non - Coffe", $D$2:$D$41)</f>
        <v>52</v>
      </c>
      <c r="Q15" s="10" t="s">
        <v>66</v>
      </c>
      <c r="R15" s="10" t="n">
        <f aca="false">COUNTIF($E$2:$E$41, "Makan Di Tempat")</f>
        <v>14</v>
      </c>
    </row>
    <row r="16" customFormat="false" ht="15.75" hidden="false" customHeight="false" outlineLevel="0" collapsed="false">
      <c r="A16" s="2" t="s">
        <v>74</v>
      </c>
      <c r="B16" s="5" t="n">
        <v>46157</v>
      </c>
      <c r="C16" s="2" t="s">
        <v>36</v>
      </c>
      <c r="D16" s="2" t="n">
        <v>6</v>
      </c>
      <c r="E16" s="6" t="s">
        <v>54</v>
      </c>
      <c r="F16" s="2" t="str">
        <f aca="false">VLOOKUP(C16, Menu!$A$2:$E$16, 2, FALSE())</f>
        <v>Kaya Toast</v>
      </c>
      <c r="G16" s="2" t="str">
        <f aca="false">VLOOKUP(C16, Menu!$A$2:$E$16, 3, FALSE())</f>
        <v>Snack</v>
      </c>
      <c r="H16" s="2" t="n">
        <f aca="false">VLOOKUP(C16, Menu!$A$2:$E$16, 4, FALSE())</f>
        <v>25000</v>
      </c>
      <c r="I16" s="2" t="n">
        <f aca="false">VLOOKUP(C16, Menu!$A$2:$E$16, 5, FALSE())</f>
        <v>15000</v>
      </c>
      <c r="J16" s="2" t="n">
        <f aca="false">D16*H16</f>
        <v>150000</v>
      </c>
      <c r="K16" s="2" t="n">
        <f aca="false">D16*I16</f>
        <v>90000</v>
      </c>
      <c r="L16" s="2" t="n">
        <f aca="false">J16-K16</f>
        <v>60000</v>
      </c>
      <c r="M16" s="4" t="str">
        <f aca="false">IF(L16&gt;=100000, "HIGH PROFIT", IF(L16&gt;=50000, "MEDIUM PROFIT", "LOW PROFIT"))</f>
        <v>MEDIUM PROFIT</v>
      </c>
      <c r="O16" s="17" t="n">
        <f aca="false">SUMIF($G$2:$G$41, "Snack", $D$2:$D$41)</f>
        <v>32</v>
      </c>
      <c r="Q16" s="10" t="s">
        <v>51</v>
      </c>
      <c r="R16" s="10" t="n">
        <f aca="false">COUNTIF($E$2:$E$41, "Gofood")</f>
        <v>13</v>
      </c>
    </row>
    <row r="17" customFormat="false" ht="15.75" hidden="false" customHeight="false" outlineLevel="0" collapsed="false">
      <c r="A17" s="2" t="s">
        <v>75</v>
      </c>
      <c r="B17" s="5" t="n">
        <v>46158</v>
      </c>
      <c r="C17" s="2" t="s">
        <v>5</v>
      </c>
      <c r="D17" s="2" t="n">
        <v>7</v>
      </c>
      <c r="E17" s="6" t="s">
        <v>49</v>
      </c>
      <c r="F17" s="2" t="str">
        <f aca="false">VLOOKUP(C17, Menu!$A$2:$E$16, 2, FALSE())</f>
        <v>Cappucino</v>
      </c>
      <c r="G17" s="2" t="str">
        <f aca="false">VLOOKUP(C17, Menu!$A$2:$E$16, 3, FALSE())</f>
        <v>Coffe</v>
      </c>
      <c r="H17" s="2" t="n">
        <f aca="false">VLOOKUP(C17, Menu!$A$2:$E$16, 4, FALSE())</f>
        <v>15000</v>
      </c>
      <c r="I17" s="2" t="n">
        <f aca="false">VLOOKUP(C17, Menu!$A$2:$E$16, 5, FALSE())</f>
        <v>10000</v>
      </c>
      <c r="J17" s="2" t="n">
        <f aca="false">D17*H17</f>
        <v>105000</v>
      </c>
      <c r="K17" s="2" t="n">
        <f aca="false">D17*I17</f>
        <v>70000</v>
      </c>
      <c r="L17" s="2" t="n">
        <f aca="false">J17-K17</f>
        <v>35000</v>
      </c>
      <c r="M17" s="4" t="str">
        <f aca="false">IF(L17&gt;=100000, "HIGH PROFIT", IF(L17&gt;=50000, "MEDIUM PROFIT", "LOW PROFIT"))</f>
        <v>LOW PROFIT</v>
      </c>
      <c r="O17" s="17" t="n">
        <f aca="false">SUMIF($G$2:$G$41, "Food", $D$2:$D$41)</f>
        <v>41</v>
      </c>
      <c r="Q17" s="10" t="s">
        <v>54</v>
      </c>
      <c r="R17" s="10" t="n">
        <f aca="false">COUNTIF($E$2:$E$41, "Takeaway")</f>
        <v>13</v>
      </c>
    </row>
    <row r="18" customFormat="false" ht="15.75" hidden="false" customHeight="false" outlineLevel="0" collapsed="false">
      <c r="A18" s="2" t="s">
        <v>76</v>
      </c>
      <c r="B18" s="5" t="n">
        <v>46159</v>
      </c>
      <c r="C18" s="2" t="s">
        <v>8</v>
      </c>
      <c r="D18" s="2" t="n">
        <v>4</v>
      </c>
      <c r="E18" s="6" t="s">
        <v>51</v>
      </c>
      <c r="F18" s="2" t="str">
        <f aca="false">VLOOKUP(C18, Menu!$A$2:$E$16, 2, FALSE())</f>
        <v>Americano</v>
      </c>
      <c r="G18" s="2" t="str">
        <f aca="false">VLOOKUP(C18, Menu!$A$2:$E$16, 3, FALSE())</f>
        <v>Coffe</v>
      </c>
      <c r="H18" s="2" t="n">
        <f aca="false">VLOOKUP(C18, Menu!$A$2:$E$16, 4, FALSE())</f>
        <v>16000</v>
      </c>
      <c r="I18" s="2" t="n">
        <f aca="false">VLOOKUP(C18, Menu!$A$2:$E$16, 5, FALSE())</f>
        <v>11000</v>
      </c>
      <c r="J18" s="2" t="n">
        <f aca="false">D18*H18</f>
        <v>64000</v>
      </c>
      <c r="K18" s="2" t="n">
        <f aca="false">D18*I18</f>
        <v>44000</v>
      </c>
      <c r="L18" s="2" t="n">
        <f aca="false">J18-K18</f>
        <v>20000</v>
      </c>
      <c r="M18" s="4" t="str">
        <f aca="false">IF(L18&gt;=100000, "HIGH PROFIT", IF(L18&gt;=50000, "MEDIUM PROFIT", "LOW PROFIT"))</f>
        <v>LOW PROFIT</v>
      </c>
    </row>
    <row r="19" customFormat="false" ht="15.75" hidden="false" customHeight="false" outlineLevel="0" collapsed="false">
      <c r="A19" s="2" t="s">
        <v>77</v>
      </c>
      <c r="B19" s="5" t="n">
        <v>46160</v>
      </c>
      <c r="C19" s="2" t="s">
        <v>10</v>
      </c>
      <c r="D19" s="2" t="n">
        <v>7</v>
      </c>
      <c r="E19" s="6" t="s">
        <v>54</v>
      </c>
      <c r="F19" s="2" t="str">
        <f aca="false">VLOOKUP(C19, Menu!$A$2:$E$16, 2, FALSE())</f>
        <v>Matcha latte</v>
      </c>
      <c r="G19" s="2" t="str">
        <f aca="false">VLOOKUP(C19, Menu!$A$2:$E$16, 3, FALSE())</f>
        <v>Non - Coffe</v>
      </c>
      <c r="H19" s="2" t="n">
        <f aca="false">VLOOKUP(C19, Menu!$A$2:$E$16, 4, FALSE())</f>
        <v>20000</v>
      </c>
      <c r="I19" s="2" t="n">
        <f aca="false">VLOOKUP(C19, Menu!$A$2:$E$16, 5, FALSE())</f>
        <v>15000</v>
      </c>
      <c r="J19" s="2" t="n">
        <f aca="false">D19*H19</f>
        <v>140000</v>
      </c>
      <c r="K19" s="2" t="n">
        <f aca="false">D19*I19</f>
        <v>105000</v>
      </c>
      <c r="L19" s="2" t="n">
        <f aca="false">J19-K19</f>
        <v>35000</v>
      </c>
      <c r="M19" s="4" t="str">
        <f aca="false">IF(L19&gt;=100000, "HIGH PROFIT", IF(L19&gt;=50000, "MEDIUM PROFIT", "LOW PROFIT"))</f>
        <v>LOW PROFIT</v>
      </c>
    </row>
    <row r="20" customFormat="false" ht="15.75" hidden="false" customHeight="false" outlineLevel="0" collapsed="false">
      <c r="A20" s="2" t="s">
        <v>78</v>
      </c>
      <c r="B20" s="5" t="n">
        <v>46161</v>
      </c>
      <c r="C20" s="2" t="s">
        <v>13</v>
      </c>
      <c r="D20" s="2" t="n">
        <v>8</v>
      </c>
      <c r="E20" s="6" t="s">
        <v>49</v>
      </c>
      <c r="F20" s="2" t="str">
        <f aca="false">VLOOKUP(C20, Menu!$A$2:$E$16, 2, FALSE())</f>
        <v>Taro Latte</v>
      </c>
      <c r="G20" s="2" t="str">
        <f aca="false">VLOOKUP(C20, Menu!$A$2:$E$16, 3, FALSE())</f>
        <v>Non - Coffe</v>
      </c>
      <c r="H20" s="2" t="n">
        <f aca="false">VLOOKUP(C20, Menu!$A$2:$E$16, 4, FALSE())</f>
        <v>30000</v>
      </c>
      <c r="I20" s="2" t="n">
        <f aca="false">VLOOKUP(C20, Menu!$A$2:$E$16, 5, FALSE())</f>
        <v>10000</v>
      </c>
      <c r="J20" s="2" t="n">
        <f aca="false">D20*H20</f>
        <v>240000</v>
      </c>
      <c r="K20" s="2" t="n">
        <f aca="false">D20*I20</f>
        <v>80000</v>
      </c>
      <c r="L20" s="2" t="n">
        <f aca="false">J20-K20</f>
        <v>160000</v>
      </c>
      <c r="M20" s="4" t="str">
        <f aca="false">IF(L20&gt;=100000, "HIGH PROFIT", IF(L20&gt;=50000, "MEDIUM PROFIT", "LOW PROFIT"))</f>
        <v>HIGH PROFIT</v>
      </c>
      <c r="O20" s="19" t="s">
        <v>79</v>
      </c>
      <c r="P20" s="19" t="s">
        <v>80</v>
      </c>
      <c r="Q20" s="19"/>
    </row>
    <row r="21" customFormat="false" ht="15.75" hidden="false" customHeight="false" outlineLevel="0" collapsed="false">
      <c r="A21" s="2" t="s">
        <v>81</v>
      </c>
      <c r="B21" s="5" t="n">
        <v>46162</v>
      </c>
      <c r="C21" s="2" t="s">
        <v>15</v>
      </c>
      <c r="D21" s="2" t="n">
        <v>3</v>
      </c>
      <c r="E21" s="6" t="s">
        <v>51</v>
      </c>
      <c r="F21" s="2" t="str">
        <f aca="false">VLOOKUP(C21, Menu!$A$2:$E$16, 2, FALSE())</f>
        <v>Cappucino</v>
      </c>
      <c r="G21" s="2" t="str">
        <f aca="false">VLOOKUP(C21, Menu!$A$2:$E$16, 3, FALSE())</f>
        <v>Coffe</v>
      </c>
      <c r="H21" s="2" t="n">
        <f aca="false">VLOOKUP(C21, Menu!$A$2:$E$16, 4, FALSE())</f>
        <v>30000</v>
      </c>
      <c r="I21" s="2" t="n">
        <f aca="false">VLOOKUP(C21, Menu!$A$2:$E$16, 5, FALSE())</f>
        <v>10000</v>
      </c>
      <c r="J21" s="2" t="n">
        <f aca="false">D21*H21</f>
        <v>90000</v>
      </c>
      <c r="K21" s="2" t="n">
        <f aca="false">D21*I21</f>
        <v>30000</v>
      </c>
      <c r="L21" s="2" t="n">
        <f aca="false">J21-K21</f>
        <v>60000</v>
      </c>
      <c r="M21" s="4" t="str">
        <f aca="false">IF(L21&gt;=100000, "HIGH PROFIT", IF(L21&gt;=50000, "MEDIUM PROFIT", "LOW PROFIT"))</f>
        <v>MEDIUM PROFIT</v>
      </c>
      <c r="O21" s="10" t="str">
        <f aca="false" t="array" ref="O21:O21">INDEX(Q4:Q7, MATCH(MAX(R4:R7), R4:R7, 0))</f>
        <v>Coffe</v>
      </c>
      <c r="P21" s="20" t="str">
        <f aca="false">INDEX(Q15:Q17, MATCH(MAX(R15:R17), R15:R17, 0))</f>
        <v>Makan di tempat</v>
      </c>
      <c r="Q21" s="20"/>
    </row>
    <row r="22" customFormat="false" ht="15.75" hidden="false" customHeight="false" outlineLevel="0" collapsed="false">
      <c r="A22" s="2" t="s">
        <v>82</v>
      </c>
      <c r="B22" s="5" t="n">
        <v>46163</v>
      </c>
      <c r="C22" s="2" t="s">
        <v>16</v>
      </c>
      <c r="D22" s="2" t="n">
        <v>6</v>
      </c>
      <c r="E22" s="6" t="s">
        <v>54</v>
      </c>
      <c r="F22" s="2" t="str">
        <f aca="false">VLOOKUP(C22, Menu!$A$2:$E$16, 2, FALSE())</f>
        <v>Lychee Tea</v>
      </c>
      <c r="G22" s="2" t="str">
        <f aca="false">VLOOKUP(C22, Menu!$A$2:$E$16, 3, FALSE())</f>
        <v>Non - Coffe</v>
      </c>
      <c r="H22" s="2" t="n">
        <f aca="false">VLOOKUP(C22, Menu!$A$2:$E$16, 4, FALSE())</f>
        <v>15000</v>
      </c>
      <c r="I22" s="2" t="n">
        <f aca="false">VLOOKUP(C22, Menu!$A$2:$E$16, 5, FALSE())</f>
        <v>10000</v>
      </c>
      <c r="J22" s="2" t="n">
        <f aca="false">D22*H22</f>
        <v>90000</v>
      </c>
      <c r="K22" s="2" t="n">
        <f aca="false">D22*I22</f>
        <v>60000</v>
      </c>
      <c r="L22" s="2" t="n">
        <f aca="false">J22-K22</f>
        <v>30000</v>
      </c>
      <c r="M22" s="4" t="str">
        <f aca="false">IF(L22&gt;=100000, "HIGH PROFIT", IF(L22&gt;=50000, "MEDIUM PROFIT", "LOW PROFIT"))</f>
        <v>LOW PROFIT</v>
      </c>
      <c r="O22" s="19" t="s">
        <v>83</v>
      </c>
      <c r="P22" s="19" t="s">
        <v>84</v>
      </c>
      <c r="Q22" s="19"/>
    </row>
    <row r="23" customFormat="false" ht="15.75" hidden="false" customHeight="false" outlineLevel="0" collapsed="false">
      <c r="A23" s="2" t="s">
        <v>85</v>
      </c>
      <c r="B23" s="5" t="n">
        <v>46164</v>
      </c>
      <c r="C23" s="2" t="s">
        <v>18</v>
      </c>
      <c r="D23" s="2" t="n">
        <v>5</v>
      </c>
      <c r="E23" s="6" t="s">
        <v>49</v>
      </c>
      <c r="F23" s="2" t="str">
        <f aca="false">VLOOKUP(C23, Menu!$A$2:$E$16, 2, FALSE())</f>
        <v>Flat White</v>
      </c>
      <c r="G23" s="2" t="str">
        <f aca="false">VLOOKUP(C23, Menu!$A$2:$E$16, 3, FALSE())</f>
        <v>Coffe</v>
      </c>
      <c r="H23" s="2" t="n">
        <f aca="false">VLOOKUP(C23, Menu!$A$2:$E$16, 4, FALSE())</f>
        <v>20000</v>
      </c>
      <c r="I23" s="2" t="n">
        <f aca="false">VLOOKUP(C23, Menu!$A$2:$E$16, 5, FALSE())</f>
        <v>10000</v>
      </c>
      <c r="J23" s="2" t="n">
        <f aca="false">D23*H23</f>
        <v>100000</v>
      </c>
      <c r="K23" s="2" t="n">
        <f aca="false">D23*I23</f>
        <v>50000</v>
      </c>
      <c r="L23" s="2" t="n">
        <f aca="false">J23-K23</f>
        <v>50000</v>
      </c>
      <c r="M23" s="4" t="str">
        <f aca="false">IF(L23&gt;=100000, "HIGH PROFIT", IF(L23&gt;=50000, "MEDIUM PROFIT", "LOW PROFIT"))</f>
        <v>MEDIUM PROFIT</v>
      </c>
      <c r="O23" s="10" t="str">
        <f aca="false">INDEX({"Coffe","Non-Coffe","Snack","Food"}, MATCH(MAX(O14:O17), O14:O17, 0))</f>
        <v>Coffe</v>
      </c>
      <c r="P23" s="20" t="str">
        <f aca="false">INDEX(Q10:Q12, MATCH(MAX(R10:R12), R10:R12, 0))</f>
        <v>Makan di tempat</v>
      </c>
      <c r="Q23" s="20"/>
    </row>
    <row r="24" customFormat="false" ht="15.75" hidden="false" customHeight="false" outlineLevel="0" collapsed="false">
      <c r="A24" s="2" t="s">
        <v>86</v>
      </c>
      <c r="B24" s="5" t="n">
        <v>46165</v>
      </c>
      <c r="C24" s="2" t="s">
        <v>20</v>
      </c>
      <c r="D24" s="2" t="n">
        <v>7</v>
      </c>
      <c r="E24" s="6" t="s">
        <v>51</v>
      </c>
      <c r="F24" s="2" t="str">
        <f aca="false">VLOOKUP(C24, Menu!$A$2:$E$16, 2, FALSE())</f>
        <v>Aren latte</v>
      </c>
      <c r="G24" s="2" t="str">
        <f aca="false">VLOOKUP(C24, Menu!$A$2:$E$16, 3, FALSE())</f>
        <v>Coffe</v>
      </c>
      <c r="H24" s="2" t="n">
        <f aca="false">VLOOKUP(C24, Menu!$A$2:$E$16, 4, FALSE())</f>
        <v>20000</v>
      </c>
      <c r="I24" s="2" t="n">
        <f aca="false">VLOOKUP(C24, Menu!$A$2:$E$16, 5, FALSE())</f>
        <v>15000</v>
      </c>
      <c r="J24" s="2" t="n">
        <f aca="false">D24*H24</f>
        <v>140000</v>
      </c>
      <c r="K24" s="2" t="n">
        <f aca="false">D24*I24</f>
        <v>105000</v>
      </c>
      <c r="L24" s="2" t="n">
        <f aca="false">J24-K24</f>
        <v>35000</v>
      </c>
      <c r="M24" s="4" t="str">
        <f aca="false">IF(L24&gt;=100000, "HIGH PROFIT", IF(L24&gt;=50000, "MEDIUM PROFIT", "LOW PROFIT"))</f>
        <v>LOW PROFIT</v>
      </c>
    </row>
    <row r="25" customFormat="false" ht="15.75" hidden="false" customHeight="false" outlineLevel="0" collapsed="false">
      <c r="A25" s="2" t="s">
        <v>87</v>
      </c>
      <c r="B25" s="5" t="n">
        <v>46166</v>
      </c>
      <c r="C25" s="2" t="s">
        <v>22</v>
      </c>
      <c r="D25" s="2" t="n">
        <v>6</v>
      </c>
      <c r="E25" s="6" t="s">
        <v>54</v>
      </c>
      <c r="F25" s="2" t="str">
        <f aca="false">VLOOKUP(C25, Menu!$A$2:$E$16, 2, FALSE())</f>
        <v>Mie Goreng</v>
      </c>
      <c r="G25" s="2" t="str">
        <f aca="false">VLOOKUP(C25, Menu!$A$2:$E$16, 3, FALSE())</f>
        <v>Food</v>
      </c>
      <c r="H25" s="2" t="n">
        <f aca="false">VLOOKUP(C25, Menu!$A$2:$E$16, 4, FALSE())</f>
        <v>25000</v>
      </c>
      <c r="I25" s="2" t="n">
        <f aca="false">VLOOKUP(C25, Menu!$A$2:$E$16, 5, FALSE())</f>
        <v>15000</v>
      </c>
      <c r="J25" s="2" t="n">
        <f aca="false">D25*H25</f>
        <v>150000</v>
      </c>
      <c r="K25" s="2" t="n">
        <f aca="false">D25*I25</f>
        <v>90000</v>
      </c>
      <c r="L25" s="2" t="n">
        <f aca="false">J25-K25</f>
        <v>60000</v>
      </c>
      <c r="M25" s="4" t="str">
        <f aca="false">IF(L25&gt;=100000, "HIGH PROFIT", IF(L25&gt;=50000, "MEDIUM PROFIT", "LOW PROFIT"))</f>
        <v>MEDIUM PROFIT</v>
      </c>
    </row>
    <row r="26" customFormat="false" ht="15.75" hidden="false" customHeight="false" outlineLevel="0" collapsed="false">
      <c r="A26" s="2" t="s">
        <v>88</v>
      </c>
      <c r="B26" s="5" t="n">
        <v>46167</v>
      </c>
      <c r="C26" s="2" t="s">
        <v>25</v>
      </c>
      <c r="D26" s="2" t="n">
        <v>6</v>
      </c>
      <c r="E26" s="6" t="s">
        <v>49</v>
      </c>
      <c r="F26" s="2" t="str">
        <f aca="false">VLOOKUP(C26, Menu!$A$2:$E$16, 2, FALSE())</f>
        <v>Nasi Goreng</v>
      </c>
      <c r="G26" s="2" t="str">
        <f aca="false">VLOOKUP(C26, Menu!$A$2:$E$16, 3, FALSE())</f>
        <v>Food</v>
      </c>
      <c r="H26" s="2" t="n">
        <f aca="false">VLOOKUP(C26, Menu!$A$2:$E$16, 4, FALSE())</f>
        <v>30000</v>
      </c>
      <c r="I26" s="2" t="n">
        <f aca="false">VLOOKUP(C26, Menu!$A$2:$E$16, 5, FALSE())</f>
        <v>20000</v>
      </c>
      <c r="J26" s="2" t="n">
        <f aca="false">D26*H26</f>
        <v>180000</v>
      </c>
      <c r="K26" s="2" t="n">
        <f aca="false">D26*I26</f>
        <v>120000</v>
      </c>
      <c r="L26" s="2" t="n">
        <f aca="false">J26-K26</f>
        <v>60000</v>
      </c>
      <c r="M26" s="4" t="str">
        <f aca="false">IF(L26&gt;=100000, "HIGH PROFIT", IF(L26&gt;=50000, "MEDIUM PROFIT", "LOW PROFIT"))</f>
        <v>MEDIUM PROFIT</v>
      </c>
    </row>
    <row r="27" customFormat="false" ht="15.75" hidden="false" customHeight="false" outlineLevel="0" collapsed="false">
      <c r="A27" s="2" t="s">
        <v>89</v>
      </c>
      <c r="B27" s="5" t="n">
        <v>46168</v>
      </c>
      <c r="C27" s="2" t="s">
        <v>27</v>
      </c>
      <c r="D27" s="2" t="n">
        <v>9</v>
      </c>
      <c r="E27" s="6" t="s">
        <v>51</v>
      </c>
      <c r="F27" s="2" t="str">
        <f aca="false">VLOOKUP(C27, Menu!$A$2:$E$16, 2, FALSE())</f>
        <v>Butterscotch Sea salt</v>
      </c>
      <c r="G27" s="2" t="str">
        <f aca="false">VLOOKUP(C27, Menu!$A$2:$E$16, 3, FALSE())</f>
        <v>Coffe</v>
      </c>
      <c r="H27" s="2" t="n">
        <f aca="false">VLOOKUP(C27, Menu!$A$2:$E$16, 4, FALSE())</f>
        <v>25000</v>
      </c>
      <c r="I27" s="2" t="n">
        <f aca="false">VLOOKUP(C27, Menu!$A$2:$E$16, 5, FALSE())</f>
        <v>20000</v>
      </c>
      <c r="J27" s="2" t="n">
        <f aca="false">D27*H27</f>
        <v>225000</v>
      </c>
      <c r="K27" s="2" t="n">
        <f aca="false">D27*I27</f>
        <v>180000</v>
      </c>
      <c r="L27" s="2" t="n">
        <f aca="false">J27-K27</f>
        <v>45000</v>
      </c>
      <c r="M27" s="4" t="str">
        <f aca="false">IF(L27&gt;=100000, "HIGH PROFIT", IF(L27&gt;=50000, "MEDIUM PROFIT", "LOW PROFIT"))</f>
        <v>LOW PROFIT</v>
      </c>
    </row>
    <row r="28" customFormat="false" ht="15.75" hidden="false" customHeight="false" outlineLevel="0" collapsed="false">
      <c r="A28" s="2" t="s">
        <v>90</v>
      </c>
      <c r="B28" s="5" t="n">
        <v>46169</v>
      </c>
      <c r="C28" s="2" t="s">
        <v>29</v>
      </c>
      <c r="D28" s="2" t="n">
        <v>4</v>
      </c>
      <c r="E28" s="6" t="s">
        <v>54</v>
      </c>
      <c r="F28" s="2" t="str">
        <f aca="false">VLOOKUP(C28, Menu!$A$2:$E$16, 2, FALSE())</f>
        <v>Coffe Mocktail</v>
      </c>
      <c r="G28" s="2" t="str">
        <f aca="false">VLOOKUP(C28, Menu!$A$2:$E$16, 3, FALSE())</f>
        <v>Coffe</v>
      </c>
      <c r="H28" s="2" t="n">
        <f aca="false">VLOOKUP(C28, Menu!$A$2:$E$16, 4, FALSE())</f>
        <v>30000</v>
      </c>
      <c r="I28" s="2" t="n">
        <f aca="false">VLOOKUP(C28, Menu!$A$2:$E$16, 5, FALSE())</f>
        <v>20000</v>
      </c>
      <c r="J28" s="2" t="n">
        <f aca="false">D28*H28</f>
        <v>120000</v>
      </c>
      <c r="K28" s="2" t="n">
        <f aca="false">D28*I28</f>
        <v>80000</v>
      </c>
      <c r="L28" s="2" t="n">
        <f aca="false">J28-K28</f>
        <v>40000</v>
      </c>
      <c r="M28" s="4" t="str">
        <f aca="false">IF(L28&gt;=100000, "HIGH PROFIT", IF(L28&gt;=50000, "MEDIUM PROFIT", "LOW PROFIT"))</f>
        <v>LOW PROFIT</v>
      </c>
    </row>
    <row r="29" customFormat="false" ht="15.75" hidden="false" customHeight="false" outlineLevel="0" collapsed="false">
      <c r="A29" s="2" t="s">
        <v>91</v>
      </c>
      <c r="B29" s="5" t="n">
        <v>46170</v>
      </c>
      <c r="C29" s="2" t="s">
        <v>31</v>
      </c>
      <c r="D29" s="2" t="n">
        <v>6</v>
      </c>
      <c r="E29" s="6" t="s">
        <v>49</v>
      </c>
      <c r="F29" s="2" t="str">
        <f aca="false">VLOOKUP(C29, Menu!$A$2:$E$16, 2, FALSE())</f>
        <v>French Fries</v>
      </c>
      <c r="G29" s="2" t="str">
        <f aca="false">VLOOKUP(C29, Menu!$A$2:$E$16, 3, FALSE())</f>
        <v>Snack</v>
      </c>
      <c r="H29" s="2" t="n">
        <f aca="false">VLOOKUP(C29, Menu!$A$2:$E$16, 4, FALSE())</f>
        <v>20000</v>
      </c>
      <c r="I29" s="2" t="n">
        <f aca="false">VLOOKUP(C29, Menu!$A$2:$E$16, 5, FALSE())</f>
        <v>10000</v>
      </c>
      <c r="J29" s="2" t="n">
        <f aca="false">D29*H29</f>
        <v>120000</v>
      </c>
      <c r="K29" s="2" t="n">
        <f aca="false">D29*I29</f>
        <v>60000</v>
      </c>
      <c r="L29" s="2" t="n">
        <f aca="false">J29-K29</f>
        <v>60000</v>
      </c>
      <c r="M29" s="4" t="str">
        <f aca="false">IF(L29&gt;=100000, "HIGH PROFIT", IF(L29&gt;=50000, "MEDIUM PROFIT", "LOW PROFIT"))</f>
        <v>MEDIUM PROFIT</v>
      </c>
    </row>
    <row r="30" customFormat="false" ht="15.75" hidden="false" customHeight="false" outlineLevel="0" collapsed="false">
      <c r="A30" s="2" t="s">
        <v>92</v>
      </c>
      <c r="B30" s="5" t="n">
        <v>46171</v>
      </c>
      <c r="C30" s="2" t="s">
        <v>34</v>
      </c>
      <c r="D30" s="2" t="n">
        <v>6</v>
      </c>
      <c r="E30" s="6" t="s">
        <v>51</v>
      </c>
      <c r="F30" s="2" t="str">
        <f aca="false">VLOOKUP(C30, Menu!$A$2:$E$16, 2, FALSE())</f>
        <v>Dimsun</v>
      </c>
      <c r="G30" s="2" t="str">
        <f aca="false">VLOOKUP(C30, Menu!$A$2:$E$16, 3, FALSE())</f>
        <v>Snack</v>
      </c>
      <c r="H30" s="2" t="n">
        <f aca="false">VLOOKUP(C30, Menu!$A$2:$E$16, 4, FALSE())</f>
        <v>25000</v>
      </c>
      <c r="I30" s="2" t="n">
        <f aca="false">VLOOKUP(C30, Menu!$A$2:$E$16, 5, FALSE())</f>
        <v>5000</v>
      </c>
      <c r="J30" s="2" t="n">
        <f aca="false">D30*H30</f>
        <v>150000</v>
      </c>
      <c r="K30" s="2" t="n">
        <f aca="false">D30*I30</f>
        <v>30000</v>
      </c>
      <c r="L30" s="2" t="n">
        <f aca="false">J30-K30</f>
        <v>120000</v>
      </c>
      <c r="M30" s="4" t="str">
        <f aca="false">IF(L30&gt;=100000, "HIGH PROFIT", IF(L30&gt;=50000, "MEDIUM PROFIT", "LOW PROFIT"))</f>
        <v>HIGH PROFIT</v>
      </c>
    </row>
    <row r="31" customFormat="false" ht="15.75" hidden="false" customHeight="false" outlineLevel="0" collapsed="false">
      <c r="A31" s="2" t="s">
        <v>93</v>
      </c>
      <c r="B31" s="5" t="n">
        <v>46172</v>
      </c>
      <c r="C31" s="2" t="s">
        <v>36</v>
      </c>
      <c r="D31" s="2" t="n">
        <v>3</v>
      </c>
      <c r="E31" s="6" t="s">
        <v>54</v>
      </c>
      <c r="F31" s="2" t="str">
        <f aca="false">VLOOKUP(C31, Menu!$A$2:$E$16, 2, FALSE())</f>
        <v>Kaya Toast</v>
      </c>
      <c r="G31" s="2" t="str">
        <f aca="false">VLOOKUP(C31, Menu!$A$2:$E$16, 3, FALSE())</f>
        <v>Snack</v>
      </c>
      <c r="H31" s="2" t="n">
        <f aca="false">VLOOKUP(C31, Menu!$A$2:$E$16, 4, FALSE())</f>
        <v>25000</v>
      </c>
      <c r="I31" s="2" t="n">
        <f aca="false">VLOOKUP(C31, Menu!$A$2:$E$16, 5, FALSE())</f>
        <v>15000</v>
      </c>
      <c r="J31" s="2" t="n">
        <f aca="false">D31*H31</f>
        <v>75000</v>
      </c>
      <c r="K31" s="2" t="n">
        <f aca="false">D31*I31</f>
        <v>45000</v>
      </c>
      <c r="L31" s="2" t="n">
        <f aca="false">J31-K31</f>
        <v>30000</v>
      </c>
      <c r="M31" s="4" t="str">
        <f aca="false">IF(L31&gt;=100000, "HIGH PROFIT", IF(L31&gt;=50000, "MEDIUM PROFIT", "LOW PROFIT"))</f>
        <v>LOW PROFIT</v>
      </c>
    </row>
    <row r="32" customFormat="false" ht="15.75" hidden="false" customHeight="false" outlineLevel="0" collapsed="false">
      <c r="A32" s="2" t="s">
        <v>94</v>
      </c>
      <c r="B32" s="5" t="n">
        <v>46173</v>
      </c>
      <c r="C32" s="2" t="s">
        <v>5</v>
      </c>
      <c r="D32" s="2" t="n">
        <v>8</v>
      </c>
      <c r="E32" s="6" t="s">
        <v>49</v>
      </c>
      <c r="F32" s="2" t="str">
        <f aca="false">VLOOKUP(C32, Menu!$A$2:$E$16, 2, FALSE())</f>
        <v>Cappucino</v>
      </c>
      <c r="G32" s="2" t="str">
        <f aca="false">VLOOKUP(C32, Menu!$A$2:$E$16, 3, FALSE())</f>
        <v>Coffe</v>
      </c>
      <c r="H32" s="2" t="n">
        <f aca="false">VLOOKUP(C32, Menu!$A$2:$E$16, 4, FALSE())</f>
        <v>15000</v>
      </c>
      <c r="I32" s="2" t="n">
        <f aca="false">VLOOKUP(C32, Menu!$A$2:$E$16, 5, FALSE())</f>
        <v>10000</v>
      </c>
      <c r="J32" s="2" t="n">
        <f aca="false">D32*H32</f>
        <v>120000</v>
      </c>
      <c r="K32" s="2" t="n">
        <f aca="false">D32*I32</f>
        <v>80000</v>
      </c>
      <c r="L32" s="2" t="n">
        <f aca="false">J32-K32</f>
        <v>40000</v>
      </c>
      <c r="M32" s="4" t="str">
        <f aca="false">IF(L32&gt;=100000, "HIGH PROFIT", IF(L32&gt;=50000, "MEDIUM PROFIT", "LOW PROFIT"))</f>
        <v>LOW PROFIT</v>
      </c>
    </row>
    <row r="33" customFormat="false" ht="15.75" hidden="false" customHeight="false" outlineLevel="0" collapsed="false">
      <c r="A33" s="2" t="s">
        <v>95</v>
      </c>
      <c r="B33" s="5" t="n">
        <v>46174</v>
      </c>
      <c r="C33" s="2" t="s">
        <v>8</v>
      </c>
      <c r="D33" s="2" t="n">
        <v>3</v>
      </c>
      <c r="E33" s="6" t="s">
        <v>51</v>
      </c>
      <c r="F33" s="2" t="str">
        <f aca="false">VLOOKUP(C33, Menu!$A$2:$E$16, 2, FALSE())</f>
        <v>Americano</v>
      </c>
      <c r="G33" s="2" t="str">
        <f aca="false">VLOOKUP(C33, Menu!$A$2:$E$16, 3, FALSE())</f>
        <v>Coffe</v>
      </c>
      <c r="H33" s="2" t="n">
        <f aca="false">VLOOKUP(C33, Menu!$A$2:$E$16, 4, FALSE())</f>
        <v>16000</v>
      </c>
      <c r="I33" s="2" t="n">
        <f aca="false">VLOOKUP(C33, Menu!$A$2:$E$16, 5, FALSE())</f>
        <v>11000</v>
      </c>
      <c r="J33" s="2" t="n">
        <f aca="false">D33*H33</f>
        <v>48000</v>
      </c>
      <c r="K33" s="2" t="n">
        <f aca="false">D33*I33</f>
        <v>33000</v>
      </c>
      <c r="L33" s="2" t="n">
        <f aca="false">J33-K33</f>
        <v>15000</v>
      </c>
      <c r="M33" s="4" t="str">
        <f aca="false">IF(L33&gt;=100000, "HIGH PROFIT", IF(L33&gt;=50000, "MEDIUM PROFIT", "LOW PROFIT"))</f>
        <v>LOW PROFIT</v>
      </c>
    </row>
    <row r="34" customFormat="false" ht="15.75" hidden="false" customHeight="false" outlineLevel="0" collapsed="false">
      <c r="A34" s="2" t="s">
        <v>96</v>
      </c>
      <c r="B34" s="5" t="n">
        <v>46175</v>
      </c>
      <c r="C34" s="2" t="s">
        <v>10</v>
      </c>
      <c r="D34" s="2" t="n">
        <v>6</v>
      </c>
      <c r="E34" s="6" t="s">
        <v>54</v>
      </c>
      <c r="F34" s="2" t="str">
        <f aca="false">VLOOKUP(C34, Menu!$A$2:$E$16, 2, FALSE())</f>
        <v>Matcha latte</v>
      </c>
      <c r="G34" s="2" t="str">
        <f aca="false">VLOOKUP(C34, Menu!$A$2:$E$16, 3, FALSE())</f>
        <v>Non - Coffe</v>
      </c>
      <c r="H34" s="2" t="n">
        <f aca="false">VLOOKUP(C34, Menu!$A$2:$E$16, 4, FALSE())</f>
        <v>20000</v>
      </c>
      <c r="I34" s="2" t="n">
        <f aca="false">VLOOKUP(C34, Menu!$A$2:$E$16, 5, FALSE())</f>
        <v>15000</v>
      </c>
      <c r="J34" s="2" t="n">
        <f aca="false">D34*H34</f>
        <v>120000</v>
      </c>
      <c r="K34" s="2" t="n">
        <f aca="false">D34*I34</f>
        <v>90000</v>
      </c>
      <c r="L34" s="2" t="n">
        <f aca="false">J34-K34</f>
        <v>30000</v>
      </c>
      <c r="M34" s="4" t="str">
        <f aca="false">IF(L34&gt;=100000, "HIGH PROFIT", IF(L34&gt;=50000, "MEDIUM PROFIT", "LOW PROFIT"))</f>
        <v>LOW PROFIT</v>
      </c>
    </row>
    <row r="35" customFormat="false" ht="15.75" hidden="false" customHeight="false" outlineLevel="0" collapsed="false">
      <c r="A35" s="2" t="s">
        <v>97</v>
      </c>
      <c r="B35" s="5" t="n">
        <v>46176</v>
      </c>
      <c r="C35" s="2" t="s">
        <v>13</v>
      </c>
      <c r="D35" s="2" t="n">
        <v>7</v>
      </c>
      <c r="E35" s="6" t="s">
        <v>49</v>
      </c>
      <c r="F35" s="2" t="str">
        <f aca="false">VLOOKUP(C35, Menu!$A$2:$E$16, 2, FALSE())</f>
        <v>Taro Latte</v>
      </c>
      <c r="G35" s="2" t="str">
        <f aca="false">VLOOKUP(C35, Menu!$A$2:$E$16, 3, FALSE())</f>
        <v>Non - Coffe</v>
      </c>
      <c r="H35" s="2" t="n">
        <f aca="false">VLOOKUP(C35, Menu!$A$2:$E$16, 4, FALSE())</f>
        <v>30000</v>
      </c>
      <c r="I35" s="2" t="n">
        <f aca="false">VLOOKUP(C35, Menu!$A$2:$E$16, 5, FALSE())</f>
        <v>10000</v>
      </c>
      <c r="J35" s="2" t="n">
        <f aca="false">D35*H35</f>
        <v>210000</v>
      </c>
      <c r="K35" s="2" t="n">
        <f aca="false">D35*I35</f>
        <v>70000</v>
      </c>
      <c r="L35" s="2" t="n">
        <f aca="false">J35-K35</f>
        <v>140000</v>
      </c>
      <c r="M35" s="4" t="str">
        <f aca="false">IF(L35&gt;=100000, "HIGH PROFIT", IF(L35&gt;=50000, "MEDIUM PROFIT", "LOW PROFIT"))</f>
        <v>HIGH PROFIT</v>
      </c>
    </row>
    <row r="36" customFormat="false" ht="15.75" hidden="false" customHeight="false" outlineLevel="0" collapsed="false">
      <c r="A36" s="2" t="s">
        <v>98</v>
      </c>
      <c r="B36" s="5" t="n">
        <v>46177</v>
      </c>
      <c r="C36" s="2" t="s">
        <v>15</v>
      </c>
      <c r="D36" s="2" t="n">
        <v>4</v>
      </c>
      <c r="E36" s="6" t="s">
        <v>51</v>
      </c>
      <c r="F36" s="2" t="str">
        <f aca="false">VLOOKUP(C36, Menu!$A$2:$E$16, 2, FALSE())</f>
        <v>Cappucino</v>
      </c>
      <c r="G36" s="2" t="str">
        <f aca="false">VLOOKUP(C36, Menu!$A$2:$E$16, 3, FALSE())</f>
        <v>Coffe</v>
      </c>
      <c r="H36" s="2" t="n">
        <f aca="false">VLOOKUP(C36, Menu!$A$2:$E$16, 4, FALSE())</f>
        <v>30000</v>
      </c>
      <c r="I36" s="2" t="n">
        <f aca="false">VLOOKUP(C36, Menu!$A$2:$E$16, 5, FALSE())</f>
        <v>10000</v>
      </c>
      <c r="J36" s="2" t="n">
        <f aca="false">D36*H36</f>
        <v>120000</v>
      </c>
      <c r="K36" s="2" t="n">
        <f aca="false">D36*I36</f>
        <v>40000</v>
      </c>
      <c r="L36" s="2" t="n">
        <f aca="false">J36-K36</f>
        <v>80000</v>
      </c>
      <c r="M36" s="4" t="str">
        <f aca="false">IF(L36&gt;=100000, "HIGH PROFIT", IF(L36&gt;=50000, "MEDIUM PROFIT", "LOW PROFIT"))</f>
        <v>MEDIUM PROFIT</v>
      </c>
    </row>
    <row r="37" customFormat="false" ht="15.75" hidden="false" customHeight="false" outlineLevel="0" collapsed="false">
      <c r="A37" s="2" t="s">
        <v>99</v>
      </c>
      <c r="B37" s="5" t="n">
        <v>46178</v>
      </c>
      <c r="C37" s="2" t="s">
        <v>16</v>
      </c>
      <c r="D37" s="2" t="n">
        <v>4</v>
      </c>
      <c r="E37" s="6" t="s">
        <v>54</v>
      </c>
      <c r="F37" s="2" t="str">
        <f aca="false">VLOOKUP(C37, Menu!$A$2:$E$16, 2, FALSE())</f>
        <v>Lychee Tea</v>
      </c>
      <c r="G37" s="2" t="str">
        <f aca="false">VLOOKUP(C37, Menu!$A$2:$E$16, 3, FALSE())</f>
        <v>Non - Coffe</v>
      </c>
      <c r="H37" s="2" t="n">
        <f aca="false">VLOOKUP(C37, Menu!$A$2:$E$16, 4, FALSE())</f>
        <v>15000</v>
      </c>
      <c r="I37" s="2" t="n">
        <f aca="false">VLOOKUP(C37, Menu!$A$2:$E$16, 5, FALSE())</f>
        <v>10000</v>
      </c>
      <c r="J37" s="2" t="n">
        <f aca="false">D37*H37</f>
        <v>60000</v>
      </c>
      <c r="K37" s="2" t="n">
        <f aca="false">D37*I37</f>
        <v>40000</v>
      </c>
      <c r="L37" s="2" t="n">
        <f aca="false">J37-K37</f>
        <v>20000</v>
      </c>
      <c r="M37" s="4" t="str">
        <f aca="false">IF(L37&gt;=100000, "HIGH PROFIT", IF(L37&gt;=50000, "MEDIUM PROFIT", "LOW PROFIT"))</f>
        <v>LOW PROFIT</v>
      </c>
    </row>
    <row r="38" customFormat="false" ht="15.75" hidden="false" customHeight="false" outlineLevel="0" collapsed="false">
      <c r="A38" s="2" t="s">
        <v>100</v>
      </c>
      <c r="B38" s="5" t="n">
        <v>46179</v>
      </c>
      <c r="C38" s="2" t="s">
        <v>18</v>
      </c>
      <c r="D38" s="2" t="n">
        <v>7</v>
      </c>
      <c r="E38" s="6" t="s">
        <v>49</v>
      </c>
      <c r="F38" s="2" t="str">
        <f aca="false">VLOOKUP(C38, Menu!$A$2:$E$16, 2, FALSE())</f>
        <v>Flat White</v>
      </c>
      <c r="G38" s="2" t="str">
        <f aca="false">VLOOKUP(C38, Menu!$A$2:$E$16, 3, FALSE())</f>
        <v>Coffe</v>
      </c>
      <c r="H38" s="2" t="n">
        <f aca="false">VLOOKUP(C38, Menu!$A$2:$E$16, 4, FALSE())</f>
        <v>20000</v>
      </c>
      <c r="I38" s="2" t="n">
        <f aca="false">VLOOKUP(C38, Menu!$A$2:$E$16, 5, FALSE())</f>
        <v>10000</v>
      </c>
      <c r="J38" s="2" t="n">
        <f aca="false">D38*H38</f>
        <v>140000</v>
      </c>
      <c r="K38" s="2" t="n">
        <f aca="false">D38*I38</f>
        <v>70000</v>
      </c>
      <c r="L38" s="2" t="n">
        <f aca="false">J38-K38</f>
        <v>70000</v>
      </c>
      <c r="M38" s="4" t="str">
        <f aca="false">IF(L38&gt;=100000, "HIGH PROFIT", IF(L38&gt;=50000, "MEDIUM PROFIT", "LOW PROFIT"))</f>
        <v>MEDIUM PROFIT</v>
      </c>
    </row>
    <row r="39" customFormat="false" ht="15.75" hidden="false" customHeight="false" outlineLevel="0" collapsed="false">
      <c r="A39" s="2" t="s">
        <v>101</v>
      </c>
      <c r="B39" s="5" t="n">
        <v>46180</v>
      </c>
      <c r="C39" s="2" t="s">
        <v>20</v>
      </c>
      <c r="D39" s="2" t="n">
        <v>6</v>
      </c>
      <c r="E39" s="6" t="s">
        <v>51</v>
      </c>
      <c r="F39" s="2" t="str">
        <f aca="false">VLOOKUP(C39, Menu!$A$2:$E$16, 2, FALSE())</f>
        <v>Aren latte</v>
      </c>
      <c r="G39" s="2" t="str">
        <f aca="false">VLOOKUP(C39, Menu!$A$2:$E$16, 3, FALSE())</f>
        <v>Coffe</v>
      </c>
      <c r="H39" s="2" t="n">
        <f aca="false">VLOOKUP(C39, Menu!$A$2:$E$16, 4, FALSE())</f>
        <v>20000</v>
      </c>
      <c r="I39" s="2" t="n">
        <f aca="false">VLOOKUP(C39, Menu!$A$2:$E$16, 5, FALSE())</f>
        <v>15000</v>
      </c>
      <c r="J39" s="2" t="n">
        <f aca="false">D39*H39</f>
        <v>120000</v>
      </c>
      <c r="K39" s="2" t="n">
        <f aca="false">D39*I39</f>
        <v>90000</v>
      </c>
      <c r="L39" s="2" t="n">
        <f aca="false">J39-K39</f>
        <v>30000</v>
      </c>
      <c r="M39" s="4" t="str">
        <f aca="false">IF(L39&gt;=100000, "HIGH PROFIT", IF(L39&gt;=50000, "MEDIUM PROFIT", "LOW PROFIT"))</f>
        <v>LOW PROFIT</v>
      </c>
    </row>
    <row r="40" customFormat="false" ht="15.75" hidden="false" customHeight="false" outlineLevel="0" collapsed="false">
      <c r="A40" s="2" t="s">
        <v>102</v>
      </c>
      <c r="B40" s="5" t="n">
        <v>46181</v>
      </c>
      <c r="C40" s="2" t="s">
        <v>22</v>
      </c>
      <c r="D40" s="2" t="n">
        <v>3</v>
      </c>
      <c r="E40" s="6" t="s">
        <v>54</v>
      </c>
      <c r="F40" s="2" t="str">
        <f aca="false">VLOOKUP(C40, Menu!$A$2:$E$16, 2, FALSE())</f>
        <v>Mie Goreng</v>
      </c>
      <c r="G40" s="2" t="str">
        <f aca="false">VLOOKUP(C40, Menu!$A$2:$E$16, 3, FALSE())</f>
        <v>Food</v>
      </c>
      <c r="H40" s="2" t="n">
        <f aca="false">VLOOKUP(C40, Menu!$A$2:$E$16, 4, FALSE())</f>
        <v>25000</v>
      </c>
      <c r="I40" s="2" t="n">
        <f aca="false">VLOOKUP(C40, Menu!$A$2:$E$16, 5, FALSE())</f>
        <v>15000</v>
      </c>
      <c r="J40" s="2" t="n">
        <f aca="false">D40*H40</f>
        <v>75000</v>
      </c>
      <c r="K40" s="2" t="n">
        <f aca="false">D40*I40</f>
        <v>45000</v>
      </c>
      <c r="L40" s="2" t="n">
        <f aca="false">J40-K40</f>
        <v>30000</v>
      </c>
      <c r="M40" s="4" t="str">
        <f aca="false">IF(L40&gt;=100000, "HIGH PROFIT", IF(L40&gt;=50000, "MEDIUM PROFIT", "LOW PROFIT"))</f>
        <v>LOW PROFIT</v>
      </c>
    </row>
    <row r="41" customFormat="false" ht="15.75" hidden="false" customHeight="false" outlineLevel="0" collapsed="false">
      <c r="A41" s="2" t="s">
        <v>103</v>
      </c>
      <c r="B41" s="5" t="n">
        <v>46182</v>
      </c>
      <c r="C41" s="2" t="s">
        <v>25</v>
      </c>
      <c r="D41" s="2" t="n">
        <v>9</v>
      </c>
      <c r="E41" s="6" t="s">
        <v>49</v>
      </c>
      <c r="F41" s="2" t="str">
        <f aca="false">VLOOKUP(C41, Menu!$A$2:$E$16, 2, FALSE())</f>
        <v>Nasi Goreng</v>
      </c>
      <c r="G41" s="2" t="str">
        <f aca="false">VLOOKUP(C41, Menu!$A$2:$E$16, 3, FALSE())</f>
        <v>Food</v>
      </c>
      <c r="H41" s="2" t="n">
        <f aca="false">VLOOKUP(C41, Menu!$A$2:$E$16, 4, FALSE())</f>
        <v>30000</v>
      </c>
      <c r="I41" s="2" t="n">
        <f aca="false">VLOOKUP(C41, Menu!$A$2:$E$16, 5, FALSE())</f>
        <v>20000</v>
      </c>
      <c r="J41" s="2" t="n">
        <f aca="false">D41*H41</f>
        <v>270000</v>
      </c>
      <c r="K41" s="2" t="n">
        <f aca="false">D41*I41</f>
        <v>180000</v>
      </c>
      <c r="L41" s="2" t="n">
        <f aca="false">J41-K41</f>
        <v>90000</v>
      </c>
      <c r="M41" s="4" t="str">
        <f aca="false">IF(L41&gt;=100000, "HIGH PROFIT", IF(L41&gt;=50000, "MEDIUM PROFIT", "LOW PROFIT"))</f>
        <v>MEDIUM PROFIT</v>
      </c>
    </row>
    <row r="42" customFormat="false" ht="15.75" hidden="false" customHeight="false" outlineLevel="0" collapsed="false">
      <c r="D42" s="4"/>
      <c r="E42" s="4"/>
      <c r="F42" s="4"/>
      <c r="G42" s="4"/>
      <c r="H42" s="4"/>
      <c r="I42" s="4"/>
      <c r="J42" s="4"/>
      <c r="K42" s="4"/>
      <c r="L42" s="4"/>
    </row>
    <row r="43" customFormat="false" ht="15.75" hidden="false" customHeight="false" outlineLevel="0" collapsed="false">
      <c r="D43" s="4"/>
      <c r="E43" s="4"/>
      <c r="F43" s="4"/>
      <c r="G43" s="4"/>
      <c r="H43" s="4"/>
      <c r="I43" s="4"/>
      <c r="J43" s="4"/>
      <c r="K43" s="4"/>
      <c r="L43" s="4"/>
    </row>
    <row r="44" customFormat="false" ht="15.75" hidden="false" customHeight="false" outlineLevel="0" collapsed="false">
      <c r="A44" s="4"/>
      <c r="B44" s="4"/>
      <c r="D44" s="4"/>
      <c r="E44" s="4"/>
      <c r="F44" s="4"/>
      <c r="G44" s="4"/>
      <c r="H44" s="4"/>
      <c r="I44" s="4"/>
      <c r="J44" s="4"/>
      <c r="K44" s="4"/>
      <c r="L44" s="4"/>
      <c r="M44" s="4"/>
      <c r="O44" s="4"/>
      <c r="P44" s="4"/>
      <c r="Q44" s="4"/>
      <c r="R44" s="4"/>
      <c r="S44" s="4"/>
      <c r="T44" s="4"/>
    </row>
    <row r="45" customFormat="false" ht="15.75" hidden="false" customHeight="false" outlineLevel="0" collapsed="false">
      <c r="A45" s="4"/>
      <c r="B45" s="4"/>
      <c r="D45" s="4"/>
      <c r="E45" s="4"/>
      <c r="F45" s="4"/>
      <c r="G45" s="4"/>
      <c r="H45" s="4"/>
      <c r="I45" s="4"/>
      <c r="J45" s="4"/>
      <c r="K45" s="4"/>
      <c r="L45" s="4"/>
      <c r="M45" s="4"/>
      <c r="O45" s="4"/>
      <c r="P45" s="4"/>
      <c r="Q45" s="4"/>
      <c r="R45" s="4"/>
      <c r="S45" s="4"/>
      <c r="T45" s="4"/>
    </row>
    <row r="46" customFormat="false" ht="15.75" hidden="false" customHeight="false" outlineLevel="0" collapsed="false">
      <c r="D46" s="4"/>
      <c r="E46" s="4"/>
      <c r="F46" s="4"/>
      <c r="G46" s="4"/>
      <c r="H46" s="4"/>
      <c r="I46" s="4"/>
      <c r="J46" s="4"/>
      <c r="K46" s="4"/>
      <c r="L46" s="4"/>
      <c r="M46" s="4"/>
      <c r="O46" s="4"/>
      <c r="P46" s="4"/>
      <c r="Q46" s="4"/>
      <c r="R46" s="4"/>
      <c r="S46" s="4"/>
      <c r="T46" s="4"/>
    </row>
    <row r="47" customFormat="false" ht="15.75" hidden="false" customHeight="false" outlineLevel="0" collapsed="false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O47" s="4"/>
      <c r="P47" s="4"/>
      <c r="Q47" s="4"/>
      <c r="R47" s="4"/>
      <c r="S47" s="4"/>
      <c r="T47" s="4"/>
    </row>
    <row r="48" customFormat="false" ht="15.75" hidden="false" customHeight="false" outlineLevel="0" collapsed="false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O48" s="4"/>
      <c r="P48" s="4"/>
      <c r="Q48" s="4"/>
      <c r="R48" s="4"/>
      <c r="S48" s="4"/>
      <c r="T48" s="4"/>
    </row>
    <row r="49" customFormat="false" ht="15.75" hidden="false" customHeight="false" outlineLevel="0" collapsed="false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O49" s="4"/>
      <c r="P49" s="4"/>
      <c r="Q49" s="4"/>
      <c r="R49" s="4"/>
      <c r="S49" s="4"/>
      <c r="T49" s="4"/>
    </row>
    <row r="50" customFormat="false" ht="15.75" hidden="false" customHeight="false" outlineLevel="0" collapsed="false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O50" s="4"/>
      <c r="P50" s="4"/>
      <c r="Q50" s="4"/>
      <c r="R50" s="4"/>
      <c r="S50" s="4"/>
      <c r="T50" s="4"/>
    </row>
    <row r="51" customFormat="false" ht="15.75" hidden="false" customHeight="false" outlineLevel="0" collapsed="false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O51" s="4"/>
      <c r="P51" s="4"/>
      <c r="Q51" s="4"/>
      <c r="R51" s="4"/>
      <c r="S51" s="4"/>
      <c r="T51" s="4"/>
    </row>
    <row r="52" customFormat="false" ht="15.75" hidden="false" customHeight="false" outlineLevel="0" collapsed="false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O52" s="4"/>
      <c r="P52" s="4"/>
      <c r="Q52" s="4"/>
      <c r="R52" s="4"/>
      <c r="S52" s="4"/>
      <c r="T52" s="4"/>
    </row>
    <row r="53" customFormat="false" ht="15.75" hidden="false" customHeight="false" outlineLevel="0" collapsed="false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O53" s="4"/>
      <c r="P53" s="4"/>
      <c r="Q53" s="4"/>
      <c r="R53" s="4"/>
      <c r="S53" s="4"/>
      <c r="T53" s="4"/>
    </row>
    <row r="54" customFormat="false" ht="15.75" hidden="false" customHeight="false" outlineLevel="0" collapsed="false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O54" s="4"/>
      <c r="P54" s="4"/>
      <c r="Q54" s="4"/>
      <c r="R54" s="4"/>
      <c r="S54" s="4"/>
      <c r="T54" s="4"/>
    </row>
    <row r="55" customFormat="false" ht="15.75" hidden="false" customHeight="false" outlineLevel="0" collapsed="false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O55" s="4"/>
      <c r="P55" s="4"/>
      <c r="Q55" s="4"/>
      <c r="R55" s="4"/>
      <c r="S55" s="4"/>
      <c r="T55" s="4"/>
    </row>
    <row r="56" customFormat="false" ht="15.75" hidden="false" customHeight="false" outlineLevel="0" collapsed="false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O56" s="4"/>
      <c r="P56" s="4"/>
      <c r="Q56" s="4"/>
      <c r="R56" s="4"/>
      <c r="S56" s="4"/>
      <c r="T56" s="4"/>
    </row>
    <row r="57" customFormat="false" ht="15.75" hidden="false" customHeight="false" outlineLevel="0" collapsed="false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O57" s="4"/>
      <c r="P57" s="4"/>
      <c r="Q57" s="4"/>
      <c r="R57" s="4"/>
      <c r="S57" s="4"/>
      <c r="T57" s="4"/>
    </row>
    <row r="58" customFormat="false" ht="15.75" hidden="false" customHeight="false" outlineLevel="0" collapsed="false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O58" s="4"/>
      <c r="P58" s="4"/>
      <c r="Q58" s="4"/>
      <c r="R58" s="4"/>
      <c r="S58" s="4"/>
      <c r="T58" s="4"/>
    </row>
    <row r="59" customFormat="false" ht="15.75" hidden="false" customHeight="false" outlineLevel="0" collapsed="false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O59" s="4"/>
      <c r="P59" s="4"/>
      <c r="Q59" s="4"/>
      <c r="R59" s="4"/>
      <c r="S59" s="4"/>
      <c r="T59" s="4"/>
    </row>
    <row r="60" customFormat="false" ht="15.75" hidden="false" customHeight="false" outlineLevel="0" collapsed="false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O60" s="4"/>
      <c r="P60" s="4"/>
      <c r="Q60" s="4"/>
      <c r="R60" s="4"/>
      <c r="S60" s="4"/>
      <c r="T60" s="4"/>
    </row>
    <row r="61" customFormat="false" ht="15.75" hidden="false" customHeight="false" outlineLevel="0" collapsed="false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O61" s="4"/>
      <c r="P61" s="4"/>
      <c r="Q61" s="4"/>
      <c r="R61" s="4"/>
      <c r="S61" s="4"/>
      <c r="T61" s="4"/>
    </row>
    <row r="62" customFormat="false" ht="15.75" hidden="false" customHeight="false" outlineLevel="0" collapsed="false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O62" s="4"/>
      <c r="P62" s="4"/>
      <c r="Q62" s="4"/>
      <c r="R62" s="4"/>
      <c r="S62" s="4"/>
      <c r="T62" s="4"/>
    </row>
    <row r="63" customFormat="false" ht="15.75" hidden="false" customHeight="false" outlineLevel="0" collapsed="false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O63" s="4"/>
      <c r="P63" s="4"/>
      <c r="Q63" s="4"/>
      <c r="R63" s="4"/>
      <c r="S63" s="4"/>
      <c r="T63" s="4"/>
    </row>
    <row r="64" customFormat="false" ht="15.75" hidden="false" customHeight="false" outlineLevel="0" collapsed="false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O64" s="4"/>
      <c r="P64" s="4"/>
      <c r="Q64" s="4"/>
      <c r="R64" s="4"/>
      <c r="S64" s="4"/>
      <c r="T64" s="4"/>
    </row>
    <row r="65" customFormat="false" ht="15.75" hidden="false" customHeight="false" outlineLevel="0" collapsed="false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customFormat="false" ht="15.75" hidden="false" customHeight="false" outlineLevel="0" collapsed="false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customFormat="false" ht="15.75" hidden="false" customHeight="false" outlineLevel="0" collapsed="false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customFormat="false" ht="15.75" hidden="false" customHeight="false" outlineLevel="0" collapsed="false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customFormat="false" ht="15.75" hidden="false" customHeight="false" outlineLevel="0" collapsed="false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customFormat="false" ht="15.75" hidden="false" customHeight="false" outlineLevel="0" collapsed="false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customFormat="false" ht="15.75" hidden="false" customHeight="false" outlineLevel="0" collapsed="false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customFormat="false" ht="15.75" hidden="false" customHeight="false" outlineLevel="0" collapsed="false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customFormat="false" ht="15.75" hidden="false" customHeight="false" outlineLevel="0" collapsed="false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customFormat="false" ht="15.75" hidden="false" customHeight="false" outlineLevel="0" collapsed="false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customFormat="false" ht="15.75" hidden="false" customHeight="false" outlineLevel="0" collapsed="false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customFormat="false" ht="15.75" hidden="false" customHeight="false" outlineLevel="0" collapsed="false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customFormat="false" ht="15.75" hidden="false" customHeight="false" outlineLevel="0" collapsed="false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customFormat="false" ht="15.75" hidden="false" customHeight="false" outlineLevel="0" collapsed="false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customFormat="false" ht="15.75" hidden="false" customHeight="false" outlineLevel="0" collapsed="false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customFormat="false" ht="15.75" hidden="false" customHeight="false" outlineLevel="0" collapsed="false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customFormat="false" ht="15.75" hidden="false" customHeight="false" outlineLevel="0" collapsed="false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customFormat="false" ht="15.75" hidden="false" customHeight="false" outlineLevel="0" collapsed="false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customFormat="false" ht="15.75" hidden="false" customHeight="false" outlineLevel="0" collapsed="false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customFormat="false" ht="15.75" hidden="false" customHeight="false" outlineLevel="0" collapsed="false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customFormat="false" ht="15.75" hidden="false" customHeight="false" outlineLevel="0" collapsed="false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customFormat="false" ht="15.75" hidden="false" customHeight="false" outlineLevel="0" collapsed="false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customFormat="false" ht="15.75" hidden="false" customHeight="false" outlineLevel="0" collapsed="false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customFormat="false" ht="15.75" hidden="false" customHeight="false" outlineLevel="0" collapsed="false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customFormat="false" ht="15.75" hidden="false" customHeight="false" outlineLevel="0" collapsed="false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customFormat="false" ht="15.75" hidden="false" customHeight="false" outlineLevel="0" collapsed="false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customFormat="false" ht="15.75" hidden="false" customHeight="false" outlineLevel="0" collapsed="false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customFormat="false" ht="15.75" hidden="false" customHeight="false" outlineLevel="0" collapsed="false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customFormat="false" ht="15.75" hidden="false" customHeight="false" outlineLevel="0" collapsed="false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customFormat="false" ht="15.75" hidden="false" customHeight="false" outlineLevel="0" collapsed="false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customFormat="false" ht="15.75" hidden="false" customHeight="false" outlineLevel="0" collapsed="false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customFormat="false" ht="15.75" hidden="false" customHeight="false" outlineLevel="0" collapsed="false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customFormat="false" ht="15.75" hidden="false" customHeight="false" outlineLevel="0" collapsed="false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customFormat="false" ht="15.75" hidden="false" customHeight="false" outlineLevel="0" collapsed="false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customFormat="false" ht="15.75" hidden="false" customHeight="false" outlineLevel="0" collapsed="false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customFormat="false" ht="15.75" hidden="false" customHeight="false" outlineLevel="0" collapsed="false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 customFormat="false" ht="15.75" hidden="false" customHeight="false" outlineLevel="0" collapsed="false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customFormat="false" ht="15.75" hidden="false" customHeight="false" outlineLevel="0" collapsed="false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 customFormat="false" ht="15.75" hidden="false" customHeight="false" outlineLevel="0" collapsed="false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customFormat="false" ht="15.75" hidden="false" customHeight="false" outlineLevel="0" collapsed="false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customFormat="false" ht="15.75" hidden="false" customHeight="false" outlineLevel="0" collapsed="false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customFormat="false" ht="15.75" hidden="false" customHeight="false" outlineLevel="0" collapsed="false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customFormat="false" ht="15.75" hidden="false" customHeight="false" outlineLevel="0" collapsed="false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customFormat="false" ht="15.75" hidden="false" customHeight="false" outlineLevel="0" collapsed="false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customFormat="false" ht="15.75" hidden="false" customHeight="false" outlineLevel="0" collapsed="false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customFormat="false" ht="15.75" hidden="false" customHeight="false" outlineLevel="0" collapsed="false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customFormat="false" ht="15.75" hidden="false" customHeight="false" outlineLevel="0" collapsed="false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 customFormat="false" ht="15.75" hidden="false" customHeight="false" outlineLevel="0" collapsed="false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 customFormat="false" ht="15.75" hidden="false" customHeight="false" outlineLevel="0" collapsed="false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</row>
    <row r="114" customFormat="false" ht="15.75" hidden="false" customHeight="false" outlineLevel="0" collapsed="false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5" customFormat="false" ht="15.75" hidden="false" customHeight="false" outlineLevel="0" collapsed="false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 customFormat="false" ht="15.75" hidden="false" customHeight="false" outlineLevel="0" collapsed="false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 customFormat="false" ht="15.75" hidden="false" customHeight="false" outlineLevel="0" collapsed="false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 customFormat="false" ht="15.75" hidden="false" customHeight="false" outlineLevel="0" collapsed="false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 customFormat="false" ht="15.75" hidden="false" customHeight="false" outlineLevel="0" collapsed="false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 customFormat="false" ht="15.75" hidden="false" customHeight="false" outlineLevel="0" collapsed="false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 customFormat="false" ht="15.75" hidden="false" customHeight="false" outlineLevel="0" collapsed="false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 customFormat="false" ht="15.75" hidden="false" customHeight="false" outlineLevel="0" collapsed="false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 customFormat="false" ht="15.75" hidden="false" customHeight="false" outlineLevel="0" collapsed="false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4" customFormat="false" ht="15.75" hidden="false" customHeight="false" outlineLevel="0" collapsed="false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 customFormat="false" ht="15.75" hidden="false" customHeight="false" outlineLevel="0" collapsed="false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 customFormat="false" ht="15.75" hidden="false" customHeight="false" outlineLevel="0" collapsed="false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 customFormat="false" ht="15.75" hidden="false" customHeight="false" outlineLevel="0" collapsed="false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 customFormat="false" ht="15.75" hidden="false" customHeight="false" outlineLevel="0" collapsed="false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 customFormat="false" ht="15.75" hidden="false" customHeight="false" outlineLevel="0" collapsed="false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 customFormat="false" ht="15.75" hidden="false" customHeight="false" outlineLevel="0" collapsed="false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 customFormat="false" ht="15.75" hidden="false" customHeight="false" outlineLevel="0" collapsed="false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 customFormat="false" ht="15.75" hidden="false" customHeight="false" outlineLevel="0" collapsed="false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 customFormat="false" ht="15.75" hidden="false" customHeight="false" outlineLevel="0" collapsed="false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 customFormat="false" ht="15.75" hidden="false" customHeight="false" outlineLevel="0" collapsed="false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5" customFormat="false" ht="15.75" hidden="false" customHeight="false" outlineLevel="0" collapsed="false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 customFormat="false" ht="15.75" hidden="false" customHeight="false" outlineLevel="0" collapsed="false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 customFormat="false" ht="15.75" hidden="false" customHeight="false" outlineLevel="0" collapsed="false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 customFormat="false" ht="15.75" hidden="false" customHeight="false" outlineLevel="0" collapsed="false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</row>
    <row r="139" customFormat="false" ht="15.75" hidden="false" customHeight="false" outlineLevel="0" collapsed="false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 customFormat="false" ht="15.75" hidden="false" customHeight="false" outlineLevel="0" collapsed="false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 customFormat="false" ht="15.75" hidden="false" customHeight="false" outlineLevel="0" collapsed="false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 customFormat="false" ht="15.75" hidden="false" customHeight="false" outlineLevel="0" collapsed="false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 customFormat="false" ht="15.75" hidden="false" customHeight="false" outlineLevel="0" collapsed="false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 customFormat="false" ht="15.75" hidden="false" customHeight="false" outlineLevel="0" collapsed="false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 customFormat="false" ht="15.75" hidden="false" customHeight="false" outlineLevel="0" collapsed="false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 customFormat="false" ht="15.75" hidden="false" customHeight="false" outlineLevel="0" collapsed="false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 customFormat="false" ht="15.75" hidden="false" customHeight="false" outlineLevel="0" collapsed="false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 customFormat="false" ht="15.75" hidden="false" customHeight="false" outlineLevel="0" collapsed="false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 customFormat="false" ht="15.75" hidden="false" customHeight="false" outlineLevel="0" collapsed="false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 customFormat="false" ht="15.75" hidden="false" customHeight="false" outlineLevel="0" collapsed="false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 customFormat="false" ht="15.75" hidden="false" customHeight="false" outlineLevel="0" collapsed="false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 customFormat="false" ht="15.75" hidden="false" customHeight="false" outlineLevel="0" collapsed="false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 customFormat="false" ht="15.75" hidden="false" customHeight="false" outlineLevel="0" collapsed="false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 customFormat="false" ht="15.75" hidden="false" customHeight="false" outlineLevel="0" collapsed="false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 customFormat="false" ht="15.75" hidden="false" customHeight="false" outlineLevel="0" collapsed="false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 customFormat="false" ht="15.75" hidden="false" customHeight="false" outlineLevel="0" collapsed="false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 customFormat="false" ht="15.75" hidden="false" customHeight="false" outlineLevel="0" collapsed="false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 customFormat="false" ht="15.75" hidden="false" customHeight="false" outlineLevel="0" collapsed="false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 customFormat="false" ht="15.75" hidden="false" customHeight="false" outlineLevel="0" collapsed="false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 customFormat="false" ht="15.75" hidden="false" customHeight="false" outlineLevel="0" collapsed="false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 customFormat="false" ht="15.75" hidden="false" customHeight="false" outlineLevel="0" collapsed="false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 customFormat="false" ht="15.75" hidden="false" customHeight="false" outlineLevel="0" collapsed="false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 customFormat="false" ht="15.75" hidden="false" customHeight="false" outlineLevel="0" collapsed="false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 customFormat="false" ht="15.75" hidden="false" customHeight="false" outlineLevel="0" collapsed="false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 customFormat="false" ht="15.75" hidden="false" customHeight="false" outlineLevel="0" collapsed="false"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 customFormat="false" ht="15.75" hidden="false" customHeight="false" outlineLevel="0" collapsed="false"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 customFormat="false" ht="15.75" hidden="false" customHeight="false" outlineLevel="0" collapsed="false"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 customFormat="false" ht="15.75" hidden="false" customHeight="false" outlineLevel="0" collapsed="false"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 customFormat="false" ht="15.75" hidden="false" customHeight="false" outlineLevel="0" collapsed="false"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 customFormat="false" ht="15.75" hidden="false" customHeight="false" outlineLevel="0" collapsed="false"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 customFormat="false" ht="15.75" hidden="false" customHeight="false" outlineLevel="0" collapsed="false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 customFormat="false" ht="15.75" hidden="false" customHeight="false" outlineLevel="0" collapsed="false"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 customFormat="false" ht="15.75" hidden="false" customHeight="false" outlineLevel="0" collapsed="false"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 customFormat="false" ht="15.75" hidden="false" customHeight="false" outlineLevel="0" collapsed="false"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 customFormat="false" ht="15.75" hidden="false" customHeight="false" outlineLevel="0" collapsed="false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 customFormat="false" ht="15.75" hidden="false" customHeight="false" outlineLevel="0" collapsed="false"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 customFormat="false" ht="15.75" hidden="false" customHeight="false" outlineLevel="0" collapsed="false"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 customFormat="false" ht="15.75" hidden="false" customHeight="false" outlineLevel="0" collapsed="false"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 customFormat="false" ht="15.75" hidden="false" customHeight="false" outlineLevel="0" collapsed="false"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 customFormat="false" ht="15.75" hidden="false" customHeight="false" outlineLevel="0" collapsed="false"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 customFormat="false" ht="15.75" hidden="false" customHeight="false" outlineLevel="0" collapsed="false"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 customFormat="false" ht="15.75" hidden="false" customHeight="false" outlineLevel="0" collapsed="false"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 customFormat="false" ht="15.75" hidden="false" customHeight="false" outlineLevel="0" collapsed="false"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 customFormat="false" ht="15.75" hidden="false" customHeight="false" outlineLevel="0" collapsed="false"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 customFormat="false" ht="15.75" hidden="false" customHeight="false" outlineLevel="0" collapsed="false"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 customFormat="false" ht="15.75" hidden="false" customHeight="false" outlineLevel="0" collapsed="false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 customFormat="false" ht="15.75" hidden="false" customHeight="false" outlineLevel="0" collapsed="false"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 customFormat="false" ht="15.75" hidden="false" customHeight="false" outlineLevel="0" collapsed="false"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 customFormat="false" ht="15.75" hidden="false" customHeight="false" outlineLevel="0" collapsed="false"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 customFormat="false" ht="15.75" hidden="false" customHeight="false" outlineLevel="0" collapsed="false"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 customFormat="false" ht="15.75" hidden="false" customHeight="false" outlineLevel="0" collapsed="false"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 customFormat="false" ht="15.75" hidden="false" customHeight="false" outlineLevel="0" collapsed="false"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 customFormat="false" ht="15.75" hidden="false" customHeight="false" outlineLevel="0" collapsed="false"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 customFormat="false" ht="15.75" hidden="false" customHeight="false" outlineLevel="0" collapsed="false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 customFormat="false" ht="15.75" hidden="false" customHeight="false" outlineLevel="0" collapsed="false"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 customFormat="false" ht="15.75" hidden="false" customHeight="false" outlineLevel="0" collapsed="false"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 customFormat="false" ht="15.75" hidden="false" customHeight="false" outlineLevel="0" collapsed="false"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 customFormat="false" ht="15.75" hidden="false" customHeight="false" outlineLevel="0" collapsed="false"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 customFormat="false" ht="15.75" hidden="false" customHeight="false" outlineLevel="0" collapsed="false"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 customFormat="false" ht="15.75" hidden="false" customHeight="false" outlineLevel="0" collapsed="false"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201" customFormat="false" ht="15.75" hidden="false" customHeight="false" outlineLevel="0" collapsed="false"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</row>
    <row r="202" customFormat="false" ht="15.75" hidden="false" customHeight="false" outlineLevel="0" collapsed="false"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</row>
    <row r="203" customFormat="false" ht="15.75" hidden="false" customHeight="false" outlineLevel="0" collapsed="false"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 customFormat="false" ht="15.75" hidden="false" customHeight="false" outlineLevel="0" collapsed="false"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</row>
    <row r="205" customFormat="false" ht="15.75" hidden="false" customHeight="false" outlineLevel="0" collapsed="false"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</row>
    <row r="206" customFormat="false" ht="15.75" hidden="false" customHeight="false" outlineLevel="0" collapsed="false"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</row>
    <row r="207" customFormat="false" ht="15.75" hidden="false" customHeight="false" outlineLevel="0" collapsed="false"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 customFormat="false" ht="15.75" hidden="false" customHeight="false" outlineLevel="0" collapsed="false"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</row>
    <row r="209" customFormat="false" ht="15.75" hidden="false" customHeight="false" outlineLevel="0" collapsed="false"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0" customFormat="false" ht="15.75" hidden="false" customHeight="false" outlineLevel="0" collapsed="false"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 customFormat="false" ht="15.75" hidden="false" customHeight="false" outlineLevel="0" collapsed="false"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</row>
    <row r="212" customFormat="false" ht="15.75" hidden="false" customHeight="false" outlineLevel="0" collapsed="false"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</row>
    <row r="213" customFormat="false" ht="15.75" hidden="false" customHeight="false" outlineLevel="0" collapsed="false"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 customFormat="false" ht="15.75" hidden="false" customHeight="false" outlineLevel="0" collapsed="false"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 customFormat="false" ht="15.75" hidden="false" customHeight="false" outlineLevel="0" collapsed="false"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 customFormat="false" ht="15.75" hidden="false" customHeight="false" outlineLevel="0" collapsed="false"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 customFormat="false" ht="15.75" hidden="false" customHeight="false" outlineLevel="0" collapsed="false"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</row>
    <row r="218" customFormat="false" ht="15.75" hidden="false" customHeight="false" outlineLevel="0" collapsed="false"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</row>
    <row r="219" customFormat="false" ht="15.75" hidden="false" customHeight="false" outlineLevel="0" collapsed="false"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</row>
    <row r="220" customFormat="false" ht="15.75" hidden="false" customHeight="false" outlineLevel="0" collapsed="false"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</row>
    <row r="221" customFormat="false" ht="15.75" hidden="false" customHeight="false" outlineLevel="0" collapsed="false"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 customFormat="false" ht="15.75" hidden="false" customHeight="false" outlineLevel="0" collapsed="false"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 customFormat="false" ht="15.75" hidden="false" customHeight="false" outlineLevel="0" collapsed="false"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</row>
    <row r="224" customFormat="false" ht="15.75" hidden="false" customHeight="false" outlineLevel="0" collapsed="false"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 customFormat="false" ht="15.75" hidden="false" customHeight="false" outlineLevel="0" collapsed="false"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</row>
    <row r="226" customFormat="false" ht="15.75" hidden="false" customHeight="false" outlineLevel="0" collapsed="false"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 customFormat="false" ht="15.75" hidden="false" customHeight="false" outlineLevel="0" collapsed="false"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 customFormat="false" ht="15.75" hidden="false" customHeight="false" outlineLevel="0" collapsed="false"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 customFormat="false" ht="15.75" hidden="false" customHeight="false" outlineLevel="0" collapsed="false"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 customFormat="false" ht="15.75" hidden="false" customHeight="false" outlineLevel="0" collapsed="false"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 customFormat="false" ht="15.75" hidden="false" customHeight="false" outlineLevel="0" collapsed="false"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 customFormat="false" ht="15.75" hidden="false" customHeight="false" outlineLevel="0" collapsed="false"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 customFormat="false" ht="15.75" hidden="false" customHeight="false" outlineLevel="0" collapsed="false"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 customFormat="false" ht="15.75" hidden="false" customHeight="false" outlineLevel="0" collapsed="false"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 customFormat="false" ht="15.75" hidden="false" customHeight="false" outlineLevel="0" collapsed="false"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 customFormat="false" ht="15.75" hidden="false" customHeight="false" outlineLevel="0" collapsed="false"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 customFormat="false" ht="15.75" hidden="false" customHeight="false" outlineLevel="0" collapsed="false"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</row>
    <row r="238" customFormat="false" ht="15.75" hidden="false" customHeight="false" outlineLevel="0" collapsed="false"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 customFormat="false" ht="15.75" hidden="false" customHeight="false" outlineLevel="0" collapsed="false"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</row>
    <row r="240" customFormat="false" ht="15.75" hidden="false" customHeight="false" outlineLevel="0" collapsed="false"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</row>
    <row r="241" customFormat="false" ht="15.75" hidden="false" customHeight="false" outlineLevel="0" collapsed="false"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</row>
    <row r="242" customFormat="false" ht="15.75" hidden="false" customHeight="false" outlineLevel="0" collapsed="false"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</row>
    <row r="243" customFormat="false" ht="15.75" hidden="false" customHeight="false" outlineLevel="0" collapsed="false"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</row>
    <row r="244" customFormat="false" ht="15.75" hidden="false" customHeight="false" outlineLevel="0" collapsed="false"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</row>
    <row r="245" customFormat="false" ht="15.75" hidden="false" customHeight="false" outlineLevel="0" collapsed="false"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</row>
    <row r="246" customFormat="false" ht="15.75" hidden="false" customHeight="false" outlineLevel="0" collapsed="false"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</row>
    <row r="247" customFormat="false" ht="15.75" hidden="false" customHeight="false" outlineLevel="0" collapsed="false"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</row>
    <row r="248" customFormat="false" ht="15.75" hidden="false" customHeight="false" outlineLevel="0" collapsed="false"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</row>
    <row r="249" customFormat="false" ht="15.75" hidden="false" customHeight="false" outlineLevel="0" collapsed="false"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</row>
    <row r="250" customFormat="false" ht="15.75" hidden="false" customHeight="false" outlineLevel="0" collapsed="false"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</row>
    <row r="251" customFormat="false" ht="15.75" hidden="false" customHeight="false" outlineLevel="0" collapsed="false"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</row>
    <row r="252" customFormat="false" ht="15.75" hidden="false" customHeight="false" outlineLevel="0" collapsed="false"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</row>
    <row r="253" customFormat="false" ht="15.75" hidden="false" customHeight="false" outlineLevel="0" collapsed="false"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</row>
    <row r="254" customFormat="false" ht="15.75" hidden="false" customHeight="false" outlineLevel="0" collapsed="false"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</row>
    <row r="255" customFormat="false" ht="15.75" hidden="false" customHeight="false" outlineLevel="0" collapsed="false"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</row>
    <row r="256" customFormat="false" ht="15.75" hidden="false" customHeight="false" outlineLevel="0" collapsed="false"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</row>
    <row r="257" customFormat="false" ht="15.75" hidden="false" customHeight="false" outlineLevel="0" collapsed="false"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</row>
    <row r="258" customFormat="false" ht="15.75" hidden="false" customHeight="false" outlineLevel="0" collapsed="false"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</row>
    <row r="259" customFormat="false" ht="15.75" hidden="false" customHeight="false" outlineLevel="0" collapsed="false"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</row>
    <row r="260" customFormat="false" ht="15.75" hidden="false" customHeight="false" outlineLevel="0" collapsed="false"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</row>
    <row r="261" customFormat="false" ht="15.75" hidden="false" customHeight="false" outlineLevel="0" collapsed="false"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</row>
    <row r="262" customFormat="false" ht="15.75" hidden="false" customHeight="false" outlineLevel="0" collapsed="false"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</row>
    <row r="263" customFormat="false" ht="15.75" hidden="false" customHeight="false" outlineLevel="0" collapsed="false"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</row>
    <row r="264" customFormat="false" ht="15.75" hidden="false" customHeight="false" outlineLevel="0" collapsed="false"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</row>
    <row r="265" customFormat="false" ht="15.75" hidden="false" customHeight="false" outlineLevel="0" collapsed="false"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</row>
    <row r="266" customFormat="false" ht="15.75" hidden="false" customHeight="false" outlineLevel="0" collapsed="false"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</row>
    <row r="267" customFormat="false" ht="15.75" hidden="false" customHeight="false" outlineLevel="0" collapsed="false"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</row>
    <row r="268" customFormat="false" ht="15.75" hidden="false" customHeight="false" outlineLevel="0" collapsed="false"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</row>
    <row r="269" customFormat="false" ht="15.75" hidden="false" customHeight="false" outlineLevel="0" collapsed="false"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</row>
    <row r="270" customFormat="false" ht="15.75" hidden="false" customHeight="false" outlineLevel="0" collapsed="false"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</row>
    <row r="271" customFormat="false" ht="15.75" hidden="false" customHeight="false" outlineLevel="0" collapsed="false"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</row>
    <row r="272" customFormat="false" ht="15.75" hidden="false" customHeight="false" outlineLevel="0" collapsed="false"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</row>
    <row r="273" customFormat="false" ht="15.75" hidden="false" customHeight="false" outlineLevel="0" collapsed="false"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</row>
    <row r="274" customFormat="false" ht="15.75" hidden="false" customHeight="false" outlineLevel="0" collapsed="false"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</row>
    <row r="275" customFormat="false" ht="15.75" hidden="false" customHeight="false" outlineLevel="0" collapsed="false"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</row>
    <row r="276" customFormat="false" ht="15.75" hidden="false" customHeight="false" outlineLevel="0" collapsed="false"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</row>
    <row r="277" customFormat="false" ht="15.75" hidden="false" customHeight="false" outlineLevel="0" collapsed="false"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</row>
    <row r="278" customFormat="false" ht="15.75" hidden="false" customHeight="false" outlineLevel="0" collapsed="false"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</row>
    <row r="279" customFormat="false" ht="15.75" hidden="false" customHeight="false" outlineLevel="0" collapsed="false"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</row>
    <row r="280" customFormat="false" ht="15.75" hidden="false" customHeight="false" outlineLevel="0" collapsed="false"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</row>
    <row r="281" customFormat="false" ht="15.75" hidden="false" customHeight="false" outlineLevel="0" collapsed="false"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</row>
    <row r="282" customFormat="false" ht="15.75" hidden="false" customHeight="false" outlineLevel="0" collapsed="false"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</row>
    <row r="283" customFormat="false" ht="15.75" hidden="false" customHeight="false" outlineLevel="0" collapsed="false"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</row>
    <row r="284" customFormat="false" ht="15.75" hidden="false" customHeight="false" outlineLevel="0" collapsed="false"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</row>
    <row r="285" customFormat="false" ht="15.75" hidden="false" customHeight="false" outlineLevel="0" collapsed="false"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</row>
    <row r="286" customFormat="false" ht="15.75" hidden="false" customHeight="false" outlineLevel="0" collapsed="false"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</row>
    <row r="287" customFormat="false" ht="15.75" hidden="false" customHeight="false" outlineLevel="0" collapsed="false"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</row>
    <row r="288" customFormat="false" ht="15.75" hidden="false" customHeight="false" outlineLevel="0" collapsed="false"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</row>
    <row r="289" customFormat="false" ht="15.75" hidden="false" customHeight="false" outlineLevel="0" collapsed="false"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</row>
    <row r="290" customFormat="false" ht="15.75" hidden="false" customHeight="false" outlineLevel="0" collapsed="false"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</row>
    <row r="291" customFormat="false" ht="15.75" hidden="false" customHeight="false" outlineLevel="0" collapsed="false"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</row>
    <row r="292" customFormat="false" ht="15.75" hidden="false" customHeight="false" outlineLevel="0" collapsed="false"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</row>
    <row r="293" customFormat="false" ht="15.75" hidden="false" customHeight="false" outlineLevel="0" collapsed="false"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</row>
    <row r="294" customFormat="false" ht="15.75" hidden="false" customHeight="false" outlineLevel="0" collapsed="false"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</row>
    <row r="295" customFormat="false" ht="15.75" hidden="false" customHeight="false" outlineLevel="0" collapsed="false"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</row>
    <row r="296" customFormat="false" ht="15.75" hidden="false" customHeight="false" outlineLevel="0" collapsed="false"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</row>
    <row r="297" customFormat="false" ht="15.75" hidden="false" customHeight="false" outlineLevel="0" collapsed="false"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</row>
    <row r="298" customFormat="false" ht="15.75" hidden="false" customHeight="false" outlineLevel="0" collapsed="false"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</row>
    <row r="299" customFormat="false" ht="15.75" hidden="false" customHeight="false" outlineLevel="0" collapsed="false"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</row>
    <row r="300" customFormat="false" ht="15.75" hidden="false" customHeight="false" outlineLevel="0" collapsed="false"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</row>
    <row r="301" customFormat="false" ht="15.75" hidden="false" customHeight="false" outlineLevel="0" collapsed="false"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</row>
    <row r="302" customFormat="false" ht="15.75" hidden="false" customHeight="false" outlineLevel="0" collapsed="false"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</row>
    <row r="303" customFormat="false" ht="15.75" hidden="false" customHeight="false" outlineLevel="0" collapsed="false"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</row>
    <row r="304" customFormat="false" ht="15.75" hidden="false" customHeight="false" outlineLevel="0" collapsed="false"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</row>
    <row r="305" customFormat="false" ht="15.75" hidden="false" customHeight="false" outlineLevel="0" collapsed="false"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</row>
    <row r="306" customFormat="false" ht="15.75" hidden="false" customHeight="false" outlineLevel="0" collapsed="false"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</row>
    <row r="307" customFormat="false" ht="15.75" hidden="false" customHeight="false" outlineLevel="0" collapsed="false"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</row>
    <row r="308" customFormat="false" ht="15.75" hidden="false" customHeight="false" outlineLevel="0" collapsed="false"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</row>
    <row r="309" customFormat="false" ht="15.75" hidden="false" customHeight="false" outlineLevel="0" collapsed="false"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</row>
    <row r="310" customFormat="false" ht="15.75" hidden="false" customHeight="false" outlineLevel="0" collapsed="false"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</row>
    <row r="311" customFormat="false" ht="15.75" hidden="false" customHeight="false" outlineLevel="0" collapsed="false"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</row>
    <row r="312" customFormat="false" ht="15.75" hidden="false" customHeight="false" outlineLevel="0" collapsed="false"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</row>
    <row r="313" customFormat="false" ht="15.75" hidden="false" customHeight="false" outlineLevel="0" collapsed="false"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</row>
    <row r="314" customFormat="false" ht="15.75" hidden="false" customHeight="false" outlineLevel="0" collapsed="false"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</row>
    <row r="315" customFormat="false" ht="15.75" hidden="false" customHeight="false" outlineLevel="0" collapsed="false"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</row>
    <row r="316" customFormat="false" ht="15.75" hidden="false" customHeight="false" outlineLevel="0" collapsed="false"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</row>
    <row r="317" customFormat="false" ht="15.75" hidden="false" customHeight="false" outlineLevel="0" collapsed="false"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</row>
    <row r="318" customFormat="false" ht="15.75" hidden="false" customHeight="false" outlineLevel="0" collapsed="false"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</row>
    <row r="319" customFormat="false" ht="15.75" hidden="false" customHeight="false" outlineLevel="0" collapsed="false"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</row>
    <row r="320" customFormat="false" ht="15.75" hidden="false" customHeight="false" outlineLevel="0" collapsed="false"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</row>
    <row r="321" customFormat="false" ht="15.75" hidden="false" customHeight="false" outlineLevel="0" collapsed="false"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</row>
    <row r="322" customFormat="false" ht="15.75" hidden="false" customHeight="false" outlineLevel="0" collapsed="false"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</row>
    <row r="323" customFormat="false" ht="15.75" hidden="false" customHeight="false" outlineLevel="0" collapsed="false"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</row>
    <row r="324" customFormat="false" ht="15.75" hidden="false" customHeight="false" outlineLevel="0" collapsed="false"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</row>
    <row r="325" customFormat="false" ht="15.75" hidden="false" customHeight="false" outlineLevel="0" collapsed="false"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</row>
    <row r="326" customFormat="false" ht="15.75" hidden="false" customHeight="false" outlineLevel="0" collapsed="false"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</row>
    <row r="327" customFormat="false" ht="15.75" hidden="false" customHeight="false" outlineLevel="0" collapsed="false"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</row>
    <row r="328" customFormat="false" ht="15.75" hidden="false" customHeight="false" outlineLevel="0" collapsed="false"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</row>
    <row r="329" customFormat="false" ht="15.75" hidden="false" customHeight="false" outlineLevel="0" collapsed="false"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</row>
    <row r="330" customFormat="false" ht="15.75" hidden="false" customHeight="false" outlineLevel="0" collapsed="false"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</row>
    <row r="331" customFormat="false" ht="15.75" hidden="false" customHeight="false" outlineLevel="0" collapsed="false"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</row>
    <row r="332" customFormat="false" ht="15.75" hidden="false" customHeight="false" outlineLevel="0" collapsed="false"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</row>
    <row r="333" customFormat="false" ht="15.75" hidden="false" customHeight="false" outlineLevel="0" collapsed="false"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</row>
    <row r="334" customFormat="false" ht="15.75" hidden="false" customHeight="false" outlineLevel="0" collapsed="false"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</row>
    <row r="335" customFormat="false" ht="15.75" hidden="false" customHeight="false" outlineLevel="0" collapsed="false"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</row>
    <row r="336" customFormat="false" ht="15.75" hidden="false" customHeight="false" outlineLevel="0" collapsed="false"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</row>
    <row r="337" customFormat="false" ht="15.75" hidden="false" customHeight="false" outlineLevel="0" collapsed="false"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</row>
    <row r="338" customFormat="false" ht="15.75" hidden="false" customHeight="false" outlineLevel="0" collapsed="false"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</row>
    <row r="339" customFormat="false" ht="15.75" hidden="false" customHeight="false" outlineLevel="0" collapsed="false"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</row>
    <row r="340" customFormat="false" ht="15.75" hidden="false" customHeight="false" outlineLevel="0" collapsed="false"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</row>
    <row r="341" customFormat="false" ht="15.75" hidden="false" customHeight="false" outlineLevel="0" collapsed="false"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</row>
    <row r="342" customFormat="false" ht="15.75" hidden="false" customHeight="false" outlineLevel="0" collapsed="false"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</row>
    <row r="343" customFormat="false" ht="15.75" hidden="false" customHeight="false" outlineLevel="0" collapsed="false"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</row>
    <row r="344" customFormat="false" ht="15.75" hidden="false" customHeight="false" outlineLevel="0" collapsed="false"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</row>
    <row r="345" customFormat="false" ht="15.75" hidden="false" customHeight="false" outlineLevel="0" collapsed="false"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</row>
    <row r="346" customFormat="false" ht="15.75" hidden="false" customHeight="false" outlineLevel="0" collapsed="false"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</row>
    <row r="347" customFormat="false" ht="15.75" hidden="false" customHeight="false" outlineLevel="0" collapsed="false"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</row>
    <row r="348" customFormat="false" ht="15.75" hidden="false" customHeight="false" outlineLevel="0" collapsed="false"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</row>
    <row r="349" customFormat="false" ht="15.75" hidden="false" customHeight="false" outlineLevel="0" collapsed="false"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</row>
    <row r="350" customFormat="false" ht="15.75" hidden="false" customHeight="false" outlineLevel="0" collapsed="false"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</row>
    <row r="351" customFormat="false" ht="15.75" hidden="false" customHeight="false" outlineLevel="0" collapsed="false"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</row>
    <row r="352" customFormat="false" ht="15.75" hidden="false" customHeight="false" outlineLevel="0" collapsed="false"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</row>
    <row r="353" customFormat="false" ht="15.75" hidden="false" customHeight="false" outlineLevel="0" collapsed="false"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</row>
    <row r="354" customFormat="false" ht="15.75" hidden="false" customHeight="false" outlineLevel="0" collapsed="false"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</row>
    <row r="355" customFormat="false" ht="15.75" hidden="false" customHeight="false" outlineLevel="0" collapsed="false"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</row>
    <row r="356" customFormat="false" ht="15.75" hidden="false" customHeight="false" outlineLevel="0" collapsed="false"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</row>
    <row r="357" customFormat="false" ht="15.75" hidden="false" customHeight="false" outlineLevel="0" collapsed="false"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</row>
    <row r="358" customFormat="false" ht="15.75" hidden="false" customHeight="false" outlineLevel="0" collapsed="false"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</row>
    <row r="359" customFormat="false" ht="15.75" hidden="false" customHeight="false" outlineLevel="0" collapsed="false"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</row>
    <row r="360" customFormat="false" ht="15.75" hidden="false" customHeight="false" outlineLevel="0" collapsed="false"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</row>
    <row r="361" customFormat="false" ht="15.75" hidden="false" customHeight="false" outlineLevel="0" collapsed="false"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</row>
    <row r="362" customFormat="false" ht="15.75" hidden="false" customHeight="false" outlineLevel="0" collapsed="false"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</row>
    <row r="363" customFormat="false" ht="15.75" hidden="false" customHeight="false" outlineLevel="0" collapsed="false"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</row>
    <row r="364" customFormat="false" ht="15.75" hidden="false" customHeight="false" outlineLevel="0" collapsed="false"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</row>
    <row r="365" customFormat="false" ht="15.75" hidden="false" customHeight="false" outlineLevel="0" collapsed="false"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</row>
    <row r="366" customFormat="false" ht="15.75" hidden="false" customHeight="false" outlineLevel="0" collapsed="false"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</row>
    <row r="367" customFormat="false" ht="15.75" hidden="false" customHeight="false" outlineLevel="0" collapsed="false"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</row>
    <row r="368" customFormat="false" ht="15.75" hidden="false" customHeight="false" outlineLevel="0" collapsed="false"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</row>
    <row r="369" customFormat="false" ht="15.75" hidden="false" customHeight="false" outlineLevel="0" collapsed="false"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</row>
    <row r="370" customFormat="false" ht="15.75" hidden="false" customHeight="false" outlineLevel="0" collapsed="false"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</row>
    <row r="371" customFormat="false" ht="15.75" hidden="false" customHeight="false" outlineLevel="0" collapsed="false"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</row>
    <row r="372" customFormat="false" ht="15.75" hidden="false" customHeight="false" outlineLevel="0" collapsed="false"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</row>
    <row r="373" customFormat="false" ht="15.75" hidden="false" customHeight="false" outlineLevel="0" collapsed="false"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</row>
    <row r="374" customFormat="false" ht="15.75" hidden="false" customHeight="false" outlineLevel="0" collapsed="false"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</row>
    <row r="375" customFormat="false" ht="15.75" hidden="false" customHeight="false" outlineLevel="0" collapsed="false"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</row>
    <row r="376" customFormat="false" ht="15.75" hidden="false" customHeight="false" outlineLevel="0" collapsed="false"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</row>
    <row r="377" customFormat="false" ht="15.75" hidden="false" customHeight="false" outlineLevel="0" collapsed="false"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</row>
    <row r="378" customFormat="false" ht="15.75" hidden="false" customHeight="false" outlineLevel="0" collapsed="false"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</row>
    <row r="379" customFormat="false" ht="15.75" hidden="false" customHeight="false" outlineLevel="0" collapsed="false"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</row>
    <row r="380" customFormat="false" ht="15.75" hidden="false" customHeight="false" outlineLevel="0" collapsed="false"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</row>
    <row r="381" customFormat="false" ht="15.75" hidden="false" customHeight="false" outlineLevel="0" collapsed="false"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</row>
    <row r="382" customFormat="false" ht="15.75" hidden="false" customHeight="false" outlineLevel="0" collapsed="false"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</row>
    <row r="383" customFormat="false" ht="15.75" hidden="false" customHeight="false" outlineLevel="0" collapsed="false"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</row>
    <row r="384" customFormat="false" ht="15.75" hidden="false" customHeight="false" outlineLevel="0" collapsed="false"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</row>
    <row r="385" customFormat="false" ht="15.75" hidden="false" customHeight="false" outlineLevel="0" collapsed="false"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</row>
    <row r="386" customFormat="false" ht="15.75" hidden="false" customHeight="false" outlineLevel="0" collapsed="false"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</row>
    <row r="387" customFormat="false" ht="15.75" hidden="false" customHeight="false" outlineLevel="0" collapsed="false"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</row>
    <row r="388" customFormat="false" ht="15.75" hidden="false" customHeight="false" outlineLevel="0" collapsed="false"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</row>
    <row r="389" customFormat="false" ht="15.75" hidden="false" customHeight="false" outlineLevel="0" collapsed="false"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</row>
    <row r="390" customFormat="false" ht="15.75" hidden="false" customHeight="false" outlineLevel="0" collapsed="false"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</row>
    <row r="391" customFormat="false" ht="15.75" hidden="false" customHeight="false" outlineLevel="0" collapsed="false"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</row>
    <row r="392" customFormat="false" ht="15.75" hidden="false" customHeight="false" outlineLevel="0" collapsed="false"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</row>
    <row r="393" customFormat="false" ht="15.75" hidden="false" customHeight="false" outlineLevel="0" collapsed="false"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</row>
    <row r="394" customFormat="false" ht="15.75" hidden="false" customHeight="false" outlineLevel="0" collapsed="false"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</row>
    <row r="395" customFormat="false" ht="15.75" hidden="false" customHeight="false" outlineLevel="0" collapsed="false"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</row>
    <row r="396" customFormat="false" ht="15.75" hidden="false" customHeight="false" outlineLevel="0" collapsed="false"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</row>
    <row r="397" customFormat="false" ht="15.75" hidden="false" customHeight="false" outlineLevel="0" collapsed="false"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</row>
    <row r="398" customFormat="false" ht="15.75" hidden="false" customHeight="false" outlineLevel="0" collapsed="false"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</row>
    <row r="399" customFormat="false" ht="15.75" hidden="false" customHeight="false" outlineLevel="0" collapsed="false"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</row>
    <row r="400" customFormat="false" ht="15.75" hidden="false" customHeight="false" outlineLevel="0" collapsed="false"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</row>
    <row r="401" customFormat="false" ht="15.75" hidden="false" customHeight="false" outlineLevel="0" collapsed="false"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</row>
    <row r="402" customFormat="false" ht="15.75" hidden="false" customHeight="false" outlineLevel="0" collapsed="false"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</row>
    <row r="403" customFormat="false" ht="15.75" hidden="false" customHeight="false" outlineLevel="0" collapsed="false"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</row>
    <row r="404" customFormat="false" ht="15.75" hidden="false" customHeight="false" outlineLevel="0" collapsed="false"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</row>
    <row r="405" customFormat="false" ht="15.75" hidden="false" customHeight="false" outlineLevel="0" collapsed="false"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</row>
    <row r="406" customFormat="false" ht="15.75" hidden="false" customHeight="false" outlineLevel="0" collapsed="false"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</row>
    <row r="407" customFormat="false" ht="15.75" hidden="false" customHeight="false" outlineLevel="0" collapsed="false"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</row>
    <row r="408" customFormat="false" ht="15.75" hidden="false" customHeight="false" outlineLevel="0" collapsed="false"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</row>
    <row r="409" customFormat="false" ht="15.75" hidden="false" customHeight="false" outlineLevel="0" collapsed="false"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</row>
    <row r="410" customFormat="false" ht="15.75" hidden="false" customHeight="false" outlineLevel="0" collapsed="false"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</row>
    <row r="411" customFormat="false" ht="15.75" hidden="false" customHeight="false" outlineLevel="0" collapsed="false"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</row>
    <row r="412" customFormat="false" ht="15.75" hidden="false" customHeight="false" outlineLevel="0" collapsed="false"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</row>
    <row r="413" customFormat="false" ht="15.75" hidden="false" customHeight="false" outlineLevel="0" collapsed="false"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</row>
    <row r="414" customFormat="false" ht="15.75" hidden="false" customHeight="false" outlineLevel="0" collapsed="false"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</row>
    <row r="415" customFormat="false" ht="15.75" hidden="false" customHeight="false" outlineLevel="0" collapsed="false"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</row>
    <row r="416" customFormat="false" ht="15.75" hidden="false" customHeight="false" outlineLevel="0" collapsed="false"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</row>
    <row r="417" customFormat="false" ht="15.75" hidden="false" customHeight="false" outlineLevel="0" collapsed="false"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</row>
    <row r="418" customFormat="false" ht="15.75" hidden="false" customHeight="false" outlineLevel="0" collapsed="false"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</row>
    <row r="419" customFormat="false" ht="15.75" hidden="false" customHeight="false" outlineLevel="0" collapsed="false"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</row>
    <row r="420" customFormat="false" ht="15.75" hidden="false" customHeight="false" outlineLevel="0" collapsed="false"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</row>
    <row r="421" customFormat="false" ht="15.75" hidden="false" customHeight="false" outlineLevel="0" collapsed="false"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</row>
    <row r="422" customFormat="false" ht="15.75" hidden="false" customHeight="false" outlineLevel="0" collapsed="false"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</row>
    <row r="423" customFormat="false" ht="15.75" hidden="false" customHeight="false" outlineLevel="0" collapsed="false"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</row>
    <row r="424" customFormat="false" ht="15.75" hidden="false" customHeight="false" outlineLevel="0" collapsed="false"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</row>
    <row r="425" customFormat="false" ht="15.75" hidden="false" customHeight="false" outlineLevel="0" collapsed="false"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</row>
    <row r="426" customFormat="false" ht="15.75" hidden="false" customHeight="false" outlineLevel="0" collapsed="false"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</row>
    <row r="427" customFormat="false" ht="15.75" hidden="false" customHeight="false" outlineLevel="0" collapsed="false"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</row>
    <row r="428" customFormat="false" ht="15.75" hidden="false" customHeight="false" outlineLevel="0" collapsed="false"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</row>
    <row r="429" customFormat="false" ht="15.75" hidden="false" customHeight="false" outlineLevel="0" collapsed="false"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</row>
    <row r="430" customFormat="false" ht="15.75" hidden="false" customHeight="false" outlineLevel="0" collapsed="false"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</row>
    <row r="431" customFormat="false" ht="15.75" hidden="false" customHeight="false" outlineLevel="0" collapsed="false"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</row>
    <row r="432" customFormat="false" ht="15.75" hidden="false" customHeight="false" outlineLevel="0" collapsed="false"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</row>
    <row r="433" customFormat="false" ht="15.75" hidden="false" customHeight="false" outlineLevel="0" collapsed="false"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</row>
    <row r="434" customFormat="false" ht="15.75" hidden="false" customHeight="false" outlineLevel="0" collapsed="false"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</row>
    <row r="435" customFormat="false" ht="15.75" hidden="false" customHeight="false" outlineLevel="0" collapsed="false"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</row>
    <row r="436" customFormat="false" ht="15.75" hidden="false" customHeight="false" outlineLevel="0" collapsed="false"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</row>
    <row r="437" customFormat="false" ht="15.75" hidden="false" customHeight="false" outlineLevel="0" collapsed="false"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</row>
    <row r="438" customFormat="false" ht="15.75" hidden="false" customHeight="false" outlineLevel="0" collapsed="false"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</row>
    <row r="439" customFormat="false" ht="15.75" hidden="false" customHeight="false" outlineLevel="0" collapsed="false"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</row>
    <row r="440" customFormat="false" ht="15.75" hidden="false" customHeight="false" outlineLevel="0" collapsed="false"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</row>
    <row r="441" customFormat="false" ht="15.75" hidden="false" customHeight="false" outlineLevel="0" collapsed="false"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</row>
    <row r="442" customFormat="false" ht="15.75" hidden="false" customHeight="false" outlineLevel="0" collapsed="false"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</row>
    <row r="443" customFormat="false" ht="15.75" hidden="false" customHeight="false" outlineLevel="0" collapsed="false"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</row>
    <row r="444" customFormat="false" ht="15.75" hidden="false" customHeight="false" outlineLevel="0" collapsed="false"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</row>
    <row r="445" customFormat="false" ht="15.75" hidden="false" customHeight="false" outlineLevel="0" collapsed="false"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</row>
    <row r="446" customFormat="false" ht="15.75" hidden="false" customHeight="false" outlineLevel="0" collapsed="false"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</row>
    <row r="447" customFormat="false" ht="15.75" hidden="false" customHeight="false" outlineLevel="0" collapsed="false"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</row>
    <row r="448" customFormat="false" ht="15.75" hidden="false" customHeight="false" outlineLevel="0" collapsed="false"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</row>
    <row r="449" customFormat="false" ht="15.75" hidden="false" customHeight="false" outlineLevel="0" collapsed="false"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</row>
    <row r="450" customFormat="false" ht="15.75" hidden="false" customHeight="false" outlineLevel="0" collapsed="false"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</row>
    <row r="451" customFormat="false" ht="15.75" hidden="false" customHeight="false" outlineLevel="0" collapsed="false"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</row>
    <row r="452" customFormat="false" ht="15.75" hidden="false" customHeight="false" outlineLevel="0" collapsed="false"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</row>
    <row r="453" customFormat="false" ht="15.75" hidden="false" customHeight="false" outlineLevel="0" collapsed="false"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</row>
    <row r="454" customFormat="false" ht="15.75" hidden="false" customHeight="false" outlineLevel="0" collapsed="false"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</row>
    <row r="455" customFormat="false" ht="15.75" hidden="false" customHeight="false" outlineLevel="0" collapsed="false"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</row>
    <row r="456" customFormat="false" ht="15.75" hidden="false" customHeight="false" outlineLevel="0" collapsed="false"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</row>
    <row r="457" customFormat="false" ht="15.75" hidden="false" customHeight="false" outlineLevel="0" collapsed="false"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</row>
    <row r="458" customFormat="false" ht="15.75" hidden="false" customHeight="false" outlineLevel="0" collapsed="false"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</row>
    <row r="459" customFormat="false" ht="15.75" hidden="false" customHeight="false" outlineLevel="0" collapsed="false"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</row>
    <row r="460" customFormat="false" ht="15.75" hidden="false" customHeight="false" outlineLevel="0" collapsed="false"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</row>
    <row r="461" customFormat="false" ht="15.75" hidden="false" customHeight="false" outlineLevel="0" collapsed="false"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</row>
    <row r="462" customFormat="false" ht="15.75" hidden="false" customHeight="false" outlineLevel="0" collapsed="false"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</row>
    <row r="463" customFormat="false" ht="15.75" hidden="false" customHeight="false" outlineLevel="0" collapsed="false"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</row>
    <row r="464" customFormat="false" ht="15.75" hidden="false" customHeight="false" outlineLevel="0" collapsed="false"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</row>
    <row r="465" customFormat="false" ht="15.75" hidden="false" customHeight="false" outlineLevel="0" collapsed="false"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</row>
    <row r="466" customFormat="false" ht="15.75" hidden="false" customHeight="false" outlineLevel="0" collapsed="false"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</row>
    <row r="467" customFormat="false" ht="15.75" hidden="false" customHeight="false" outlineLevel="0" collapsed="false"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</row>
    <row r="468" customFormat="false" ht="15.75" hidden="false" customHeight="false" outlineLevel="0" collapsed="false"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</row>
    <row r="469" customFormat="false" ht="15.75" hidden="false" customHeight="false" outlineLevel="0" collapsed="false"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</row>
    <row r="470" customFormat="false" ht="15.75" hidden="false" customHeight="false" outlineLevel="0" collapsed="false"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</row>
    <row r="471" customFormat="false" ht="15.75" hidden="false" customHeight="false" outlineLevel="0" collapsed="false"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</row>
    <row r="472" customFormat="false" ht="15.75" hidden="false" customHeight="false" outlineLevel="0" collapsed="false"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</row>
    <row r="473" customFormat="false" ht="15.75" hidden="false" customHeight="false" outlineLevel="0" collapsed="false"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</row>
    <row r="474" customFormat="false" ht="15.75" hidden="false" customHeight="false" outlineLevel="0" collapsed="false"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</row>
    <row r="475" customFormat="false" ht="15.75" hidden="false" customHeight="false" outlineLevel="0" collapsed="false"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</row>
    <row r="476" customFormat="false" ht="15.75" hidden="false" customHeight="false" outlineLevel="0" collapsed="false"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</row>
    <row r="477" customFormat="false" ht="15.75" hidden="false" customHeight="false" outlineLevel="0" collapsed="false"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</row>
    <row r="478" customFormat="false" ht="15.75" hidden="false" customHeight="false" outlineLevel="0" collapsed="false"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</row>
    <row r="479" customFormat="false" ht="15.75" hidden="false" customHeight="false" outlineLevel="0" collapsed="false"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</row>
    <row r="480" customFormat="false" ht="15.75" hidden="false" customHeight="false" outlineLevel="0" collapsed="false"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</row>
    <row r="481" customFormat="false" ht="15.75" hidden="false" customHeight="false" outlineLevel="0" collapsed="false"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</row>
    <row r="482" customFormat="false" ht="15.75" hidden="false" customHeight="false" outlineLevel="0" collapsed="false"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</row>
    <row r="483" customFormat="false" ht="15.75" hidden="false" customHeight="false" outlineLevel="0" collapsed="false"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</row>
    <row r="484" customFormat="false" ht="15.75" hidden="false" customHeight="false" outlineLevel="0" collapsed="false"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</row>
    <row r="485" customFormat="false" ht="15.75" hidden="false" customHeight="false" outlineLevel="0" collapsed="false"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</row>
    <row r="486" customFormat="false" ht="15.75" hidden="false" customHeight="false" outlineLevel="0" collapsed="false"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</row>
    <row r="487" customFormat="false" ht="15.75" hidden="false" customHeight="false" outlineLevel="0" collapsed="false"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</row>
    <row r="488" customFormat="false" ht="15.75" hidden="false" customHeight="false" outlineLevel="0" collapsed="false"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</row>
    <row r="489" customFormat="false" ht="15.75" hidden="false" customHeight="false" outlineLevel="0" collapsed="false"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</row>
    <row r="490" customFormat="false" ht="15.75" hidden="false" customHeight="false" outlineLevel="0" collapsed="false"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</row>
    <row r="491" customFormat="false" ht="15.75" hidden="false" customHeight="false" outlineLevel="0" collapsed="false"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</row>
    <row r="492" customFormat="false" ht="15.75" hidden="false" customHeight="false" outlineLevel="0" collapsed="false"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</row>
    <row r="493" customFormat="false" ht="15.75" hidden="false" customHeight="false" outlineLevel="0" collapsed="false"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</row>
    <row r="494" customFormat="false" ht="15.75" hidden="false" customHeight="false" outlineLevel="0" collapsed="false"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</row>
    <row r="495" customFormat="false" ht="15.75" hidden="false" customHeight="false" outlineLevel="0" collapsed="false"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</row>
    <row r="496" customFormat="false" ht="15.75" hidden="false" customHeight="false" outlineLevel="0" collapsed="false"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</row>
    <row r="497" customFormat="false" ht="15.75" hidden="false" customHeight="false" outlineLevel="0" collapsed="false"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</row>
    <row r="498" customFormat="false" ht="15.75" hidden="false" customHeight="false" outlineLevel="0" collapsed="false"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</row>
    <row r="499" customFormat="false" ht="15.75" hidden="false" customHeight="false" outlineLevel="0" collapsed="false"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</row>
    <row r="500" customFormat="false" ht="15.75" hidden="false" customHeight="false" outlineLevel="0" collapsed="false"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</row>
    <row r="501" customFormat="false" ht="15.75" hidden="false" customHeight="false" outlineLevel="0" collapsed="false"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</row>
    <row r="502" customFormat="false" ht="15.75" hidden="false" customHeight="false" outlineLevel="0" collapsed="false"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</row>
    <row r="503" customFormat="false" ht="15.75" hidden="false" customHeight="false" outlineLevel="0" collapsed="false"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</row>
    <row r="504" customFormat="false" ht="15.75" hidden="false" customHeight="false" outlineLevel="0" collapsed="false"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</row>
    <row r="505" customFormat="false" ht="15.75" hidden="false" customHeight="false" outlineLevel="0" collapsed="false"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</row>
    <row r="506" customFormat="false" ht="15.75" hidden="false" customHeight="false" outlineLevel="0" collapsed="false"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</row>
    <row r="507" customFormat="false" ht="15.75" hidden="false" customHeight="false" outlineLevel="0" collapsed="false"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</row>
    <row r="508" customFormat="false" ht="15.75" hidden="false" customHeight="false" outlineLevel="0" collapsed="false"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</row>
    <row r="509" customFormat="false" ht="15.75" hidden="false" customHeight="false" outlineLevel="0" collapsed="false"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</row>
    <row r="510" customFormat="false" ht="15.75" hidden="false" customHeight="false" outlineLevel="0" collapsed="false"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</row>
    <row r="511" customFormat="false" ht="15.75" hidden="false" customHeight="false" outlineLevel="0" collapsed="false"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</row>
    <row r="512" customFormat="false" ht="15.75" hidden="false" customHeight="false" outlineLevel="0" collapsed="false"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</row>
    <row r="513" customFormat="false" ht="15.75" hidden="false" customHeight="false" outlineLevel="0" collapsed="false"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</row>
    <row r="514" customFormat="false" ht="15.75" hidden="false" customHeight="false" outlineLevel="0" collapsed="false"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</row>
    <row r="515" customFormat="false" ht="15.75" hidden="false" customHeight="false" outlineLevel="0" collapsed="false"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</row>
    <row r="516" customFormat="false" ht="15.75" hidden="false" customHeight="false" outlineLevel="0" collapsed="false"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</row>
    <row r="517" customFormat="false" ht="15.75" hidden="false" customHeight="false" outlineLevel="0" collapsed="false"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</row>
    <row r="518" customFormat="false" ht="15.75" hidden="false" customHeight="false" outlineLevel="0" collapsed="false"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</row>
    <row r="519" customFormat="false" ht="15.75" hidden="false" customHeight="false" outlineLevel="0" collapsed="false"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</row>
    <row r="520" customFormat="false" ht="15.75" hidden="false" customHeight="false" outlineLevel="0" collapsed="false"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</row>
    <row r="521" customFormat="false" ht="15.75" hidden="false" customHeight="false" outlineLevel="0" collapsed="false"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</row>
    <row r="522" customFormat="false" ht="15.75" hidden="false" customHeight="false" outlineLevel="0" collapsed="false"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</row>
    <row r="523" customFormat="false" ht="15.75" hidden="false" customHeight="false" outlineLevel="0" collapsed="false"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</row>
    <row r="524" customFormat="false" ht="15.75" hidden="false" customHeight="false" outlineLevel="0" collapsed="false"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</row>
    <row r="525" customFormat="false" ht="15.75" hidden="false" customHeight="false" outlineLevel="0" collapsed="false"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</row>
    <row r="526" customFormat="false" ht="15.75" hidden="false" customHeight="false" outlineLevel="0" collapsed="false"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</row>
    <row r="527" customFormat="false" ht="15.75" hidden="false" customHeight="false" outlineLevel="0" collapsed="false"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</row>
    <row r="528" customFormat="false" ht="15.75" hidden="false" customHeight="false" outlineLevel="0" collapsed="false"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</row>
    <row r="529" customFormat="false" ht="15.75" hidden="false" customHeight="false" outlineLevel="0" collapsed="false"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</row>
    <row r="530" customFormat="false" ht="15.75" hidden="false" customHeight="false" outlineLevel="0" collapsed="false"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</row>
    <row r="531" customFormat="false" ht="15.75" hidden="false" customHeight="false" outlineLevel="0" collapsed="false"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</row>
    <row r="532" customFormat="false" ht="15.75" hidden="false" customHeight="false" outlineLevel="0" collapsed="false"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</row>
    <row r="533" customFormat="false" ht="15.75" hidden="false" customHeight="false" outlineLevel="0" collapsed="false"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</row>
    <row r="534" customFormat="false" ht="15.75" hidden="false" customHeight="false" outlineLevel="0" collapsed="false"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</row>
    <row r="535" customFormat="false" ht="15.75" hidden="false" customHeight="false" outlineLevel="0" collapsed="false"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</row>
    <row r="536" customFormat="false" ht="15.75" hidden="false" customHeight="false" outlineLevel="0" collapsed="false"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</row>
    <row r="537" customFormat="false" ht="15.75" hidden="false" customHeight="false" outlineLevel="0" collapsed="false"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</row>
    <row r="538" customFormat="false" ht="15.75" hidden="false" customHeight="false" outlineLevel="0" collapsed="false"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</row>
    <row r="539" customFormat="false" ht="15.75" hidden="false" customHeight="false" outlineLevel="0" collapsed="false"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</row>
    <row r="540" customFormat="false" ht="15.75" hidden="false" customHeight="false" outlineLevel="0" collapsed="false"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</row>
    <row r="541" customFormat="false" ht="15.75" hidden="false" customHeight="false" outlineLevel="0" collapsed="false"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</row>
    <row r="542" customFormat="false" ht="15.75" hidden="false" customHeight="false" outlineLevel="0" collapsed="false"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</row>
    <row r="543" customFormat="false" ht="15.75" hidden="false" customHeight="false" outlineLevel="0" collapsed="false"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</row>
    <row r="544" customFormat="false" ht="15.75" hidden="false" customHeight="false" outlineLevel="0" collapsed="false"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</row>
    <row r="545" customFormat="false" ht="15.75" hidden="false" customHeight="false" outlineLevel="0" collapsed="false"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</row>
    <row r="546" customFormat="false" ht="15.75" hidden="false" customHeight="false" outlineLevel="0" collapsed="false"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</row>
    <row r="547" customFormat="false" ht="15.75" hidden="false" customHeight="false" outlineLevel="0" collapsed="false"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</row>
    <row r="548" customFormat="false" ht="15.75" hidden="false" customHeight="false" outlineLevel="0" collapsed="false"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</row>
    <row r="549" customFormat="false" ht="15.75" hidden="false" customHeight="false" outlineLevel="0" collapsed="false"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</row>
    <row r="550" customFormat="false" ht="15.75" hidden="false" customHeight="false" outlineLevel="0" collapsed="false"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</row>
    <row r="551" customFormat="false" ht="15.75" hidden="false" customHeight="false" outlineLevel="0" collapsed="false"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</row>
    <row r="552" customFormat="false" ht="15.75" hidden="false" customHeight="false" outlineLevel="0" collapsed="false"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</row>
    <row r="553" customFormat="false" ht="15.75" hidden="false" customHeight="false" outlineLevel="0" collapsed="false"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</row>
    <row r="554" customFormat="false" ht="15.75" hidden="false" customHeight="false" outlineLevel="0" collapsed="false"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</row>
    <row r="555" customFormat="false" ht="15.75" hidden="false" customHeight="false" outlineLevel="0" collapsed="false"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</row>
    <row r="556" customFormat="false" ht="15.75" hidden="false" customHeight="false" outlineLevel="0" collapsed="false"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</row>
    <row r="557" customFormat="false" ht="15.75" hidden="false" customHeight="false" outlineLevel="0" collapsed="false"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</row>
    <row r="558" customFormat="false" ht="15.75" hidden="false" customHeight="false" outlineLevel="0" collapsed="false"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</row>
    <row r="559" customFormat="false" ht="15.75" hidden="false" customHeight="false" outlineLevel="0" collapsed="false"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</row>
    <row r="560" customFormat="false" ht="15.75" hidden="false" customHeight="false" outlineLevel="0" collapsed="false"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</row>
    <row r="561" customFormat="false" ht="15.75" hidden="false" customHeight="false" outlineLevel="0" collapsed="false"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</row>
    <row r="562" customFormat="false" ht="15.75" hidden="false" customHeight="false" outlineLevel="0" collapsed="false"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</row>
    <row r="563" customFormat="false" ht="15.75" hidden="false" customHeight="false" outlineLevel="0" collapsed="false"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</row>
    <row r="564" customFormat="false" ht="15.75" hidden="false" customHeight="false" outlineLevel="0" collapsed="false"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</row>
    <row r="565" customFormat="false" ht="15.75" hidden="false" customHeight="false" outlineLevel="0" collapsed="false"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</row>
    <row r="566" customFormat="false" ht="15.75" hidden="false" customHeight="false" outlineLevel="0" collapsed="false"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</row>
    <row r="567" customFormat="false" ht="15.75" hidden="false" customHeight="false" outlineLevel="0" collapsed="false"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</row>
    <row r="568" customFormat="false" ht="15.75" hidden="false" customHeight="false" outlineLevel="0" collapsed="false"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</row>
    <row r="569" customFormat="false" ht="15.75" hidden="false" customHeight="false" outlineLevel="0" collapsed="false"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</row>
    <row r="570" customFormat="false" ht="15.75" hidden="false" customHeight="false" outlineLevel="0" collapsed="false"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</row>
    <row r="571" customFormat="false" ht="15.75" hidden="false" customHeight="false" outlineLevel="0" collapsed="false"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</row>
    <row r="572" customFormat="false" ht="15.75" hidden="false" customHeight="false" outlineLevel="0" collapsed="false"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</row>
    <row r="573" customFormat="false" ht="15.75" hidden="false" customHeight="false" outlineLevel="0" collapsed="false"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</row>
    <row r="574" customFormat="false" ht="15.75" hidden="false" customHeight="false" outlineLevel="0" collapsed="false"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</row>
    <row r="575" customFormat="false" ht="15.75" hidden="false" customHeight="false" outlineLevel="0" collapsed="false"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</row>
    <row r="576" customFormat="false" ht="15.75" hidden="false" customHeight="false" outlineLevel="0" collapsed="false"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</row>
    <row r="577" customFormat="false" ht="15.75" hidden="false" customHeight="false" outlineLevel="0" collapsed="false"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</row>
    <row r="578" customFormat="false" ht="15.75" hidden="false" customHeight="false" outlineLevel="0" collapsed="false"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</row>
    <row r="579" customFormat="false" ht="15.75" hidden="false" customHeight="false" outlineLevel="0" collapsed="false"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</row>
    <row r="580" customFormat="false" ht="15.75" hidden="false" customHeight="false" outlineLevel="0" collapsed="false"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</row>
    <row r="581" customFormat="false" ht="15.75" hidden="false" customHeight="false" outlineLevel="0" collapsed="false"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</row>
    <row r="582" customFormat="false" ht="15.75" hidden="false" customHeight="false" outlineLevel="0" collapsed="false"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</row>
    <row r="583" customFormat="false" ht="15.75" hidden="false" customHeight="false" outlineLevel="0" collapsed="false"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</row>
    <row r="584" customFormat="false" ht="15.75" hidden="false" customHeight="false" outlineLevel="0" collapsed="false"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</row>
    <row r="585" customFormat="false" ht="15.75" hidden="false" customHeight="false" outlineLevel="0" collapsed="false"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</row>
    <row r="586" customFormat="false" ht="15.75" hidden="false" customHeight="false" outlineLevel="0" collapsed="false"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</row>
    <row r="587" customFormat="false" ht="15.75" hidden="false" customHeight="false" outlineLevel="0" collapsed="false"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</row>
    <row r="588" customFormat="false" ht="15.75" hidden="false" customHeight="false" outlineLevel="0" collapsed="false"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</row>
    <row r="589" customFormat="false" ht="15.75" hidden="false" customHeight="false" outlineLevel="0" collapsed="false"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</row>
    <row r="590" customFormat="false" ht="15.75" hidden="false" customHeight="false" outlineLevel="0" collapsed="false"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</row>
    <row r="591" customFormat="false" ht="15.75" hidden="false" customHeight="false" outlineLevel="0" collapsed="false"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</row>
    <row r="592" customFormat="false" ht="15.75" hidden="false" customHeight="false" outlineLevel="0" collapsed="false"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</row>
    <row r="593" customFormat="false" ht="15.75" hidden="false" customHeight="false" outlineLevel="0" collapsed="false"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</row>
    <row r="594" customFormat="false" ht="15.75" hidden="false" customHeight="false" outlineLevel="0" collapsed="false"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</row>
    <row r="595" customFormat="false" ht="15.75" hidden="false" customHeight="false" outlineLevel="0" collapsed="false"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</row>
    <row r="596" customFormat="false" ht="15.75" hidden="false" customHeight="false" outlineLevel="0" collapsed="false"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</row>
    <row r="597" customFormat="false" ht="15.75" hidden="false" customHeight="false" outlineLevel="0" collapsed="false"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</row>
    <row r="598" customFormat="false" ht="15.75" hidden="false" customHeight="false" outlineLevel="0" collapsed="false"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</row>
    <row r="599" customFormat="false" ht="15.75" hidden="false" customHeight="false" outlineLevel="0" collapsed="false"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</row>
    <row r="600" customFormat="false" ht="15.75" hidden="false" customHeight="false" outlineLevel="0" collapsed="false"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</row>
    <row r="601" customFormat="false" ht="15.75" hidden="false" customHeight="false" outlineLevel="0" collapsed="false"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</row>
    <row r="602" customFormat="false" ht="15.75" hidden="false" customHeight="false" outlineLevel="0" collapsed="false"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</row>
    <row r="603" customFormat="false" ht="15.75" hidden="false" customHeight="false" outlineLevel="0" collapsed="false"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</row>
    <row r="604" customFormat="false" ht="15.75" hidden="false" customHeight="false" outlineLevel="0" collapsed="false"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</row>
    <row r="605" customFormat="false" ht="15.75" hidden="false" customHeight="false" outlineLevel="0" collapsed="false"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</row>
    <row r="606" customFormat="false" ht="15.75" hidden="false" customHeight="false" outlineLevel="0" collapsed="false"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</row>
    <row r="607" customFormat="false" ht="15.75" hidden="false" customHeight="false" outlineLevel="0" collapsed="false"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</row>
    <row r="608" customFormat="false" ht="15.75" hidden="false" customHeight="false" outlineLevel="0" collapsed="false"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</row>
    <row r="609" customFormat="false" ht="15.75" hidden="false" customHeight="false" outlineLevel="0" collapsed="false"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</row>
    <row r="610" customFormat="false" ht="15.75" hidden="false" customHeight="false" outlineLevel="0" collapsed="false"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</row>
    <row r="611" customFormat="false" ht="15.75" hidden="false" customHeight="false" outlineLevel="0" collapsed="false"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</row>
    <row r="612" customFormat="false" ht="15.75" hidden="false" customHeight="false" outlineLevel="0" collapsed="false"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</row>
    <row r="613" customFormat="false" ht="15.75" hidden="false" customHeight="false" outlineLevel="0" collapsed="false"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</row>
    <row r="614" customFormat="false" ht="15.75" hidden="false" customHeight="false" outlineLevel="0" collapsed="false"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</row>
    <row r="615" customFormat="false" ht="15.75" hidden="false" customHeight="false" outlineLevel="0" collapsed="false"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</row>
    <row r="616" customFormat="false" ht="15.75" hidden="false" customHeight="false" outlineLevel="0" collapsed="false"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</row>
    <row r="617" customFormat="false" ht="15.75" hidden="false" customHeight="false" outlineLevel="0" collapsed="false"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</row>
    <row r="618" customFormat="false" ht="15.75" hidden="false" customHeight="false" outlineLevel="0" collapsed="false"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</row>
    <row r="619" customFormat="false" ht="15.75" hidden="false" customHeight="false" outlineLevel="0" collapsed="false"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</row>
    <row r="620" customFormat="false" ht="15.75" hidden="false" customHeight="false" outlineLevel="0" collapsed="false"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</row>
    <row r="621" customFormat="false" ht="15.75" hidden="false" customHeight="false" outlineLevel="0" collapsed="false"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</row>
    <row r="622" customFormat="false" ht="15.75" hidden="false" customHeight="false" outlineLevel="0" collapsed="false"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</row>
    <row r="623" customFormat="false" ht="15.75" hidden="false" customHeight="false" outlineLevel="0" collapsed="false"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</row>
    <row r="624" customFormat="false" ht="15.75" hidden="false" customHeight="false" outlineLevel="0" collapsed="false"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</row>
    <row r="625" customFormat="false" ht="15.75" hidden="false" customHeight="false" outlineLevel="0" collapsed="false"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</row>
    <row r="626" customFormat="false" ht="15.75" hidden="false" customHeight="false" outlineLevel="0" collapsed="false"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</row>
    <row r="627" customFormat="false" ht="15.75" hidden="false" customHeight="false" outlineLevel="0" collapsed="false"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</row>
    <row r="628" customFormat="false" ht="15.75" hidden="false" customHeight="false" outlineLevel="0" collapsed="false"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</row>
    <row r="629" customFormat="false" ht="15.75" hidden="false" customHeight="false" outlineLevel="0" collapsed="false"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</row>
    <row r="630" customFormat="false" ht="15.75" hidden="false" customHeight="false" outlineLevel="0" collapsed="false"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</row>
    <row r="631" customFormat="false" ht="15.75" hidden="false" customHeight="false" outlineLevel="0" collapsed="false"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</row>
    <row r="632" customFormat="false" ht="15.75" hidden="false" customHeight="false" outlineLevel="0" collapsed="false"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</row>
    <row r="633" customFormat="false" ht="15.75" hidden="false" customHeight="false" outlineLevel="0" collapsed="false"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</row>
    <row r="634" customFormat="false" ht="15.75" hidden="false" customHeight="false" outlineLevel="0" collapsed="false"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</row>
    <row r="635" customFormat="false" ht="15.75" hidden="false" customHeight="false" outlineLevel="0" collapsed="false"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</row>
    <row r="636" customFormat="false" ht="15.75" hidden="false" customHeight="false" outlineLevel="0" collapsed="false"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</row>
    <row r="637" customFormat="false" ht="15.75" hidden="false" customHeight="false" outlineLevel="0" collapsed="false"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</row>
    <row r="638" customFormat="false" ht="15.75" hidden="false" customHeight="false" outlineLevel="0" collapsed="false"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</row>
    <row r="639" customFormat="false" ht="15.75" hidden="false" customHeight="false" outlineLevel="0" collapsed="false"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</row>
    <row r="640" customFormat="false" ht="15.75" hidden="false" customHeight="false" outlineLevel="0" collapsed="false"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</row>
    <row r="641" customFormat="false" ht="15.75" hidden="false" customHeight="false" outlineLevel="0" collapsed="false"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</row>
    <row r="642" customFormat="false" ht="15.75" hidden="false" customHeight="false" outlineLevel="0" collapsed="false"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</row>
    <row r="643" customFormat="false" ht="15.75" hidden="false" customHeight="false" outlineLevel="0" collapsed="false"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</row>
    <row r="644" customFormat="false" ht="15.75" hidden="false" customHeight="false" outlineLevel="0" collapsed="false"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</row>
    <row r="645" customFormat="false" ht="15.75" hidden="false" customHeight="false" outlineLevel="0" collapsed="false"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</row>
    <row r="646" customFormat="false" ht="15.75" hidden="false" customHeight="false" outlineLevel="0" collapsed="false"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</row>
    <row r="647" customFormat="false" ht="15.75" hidden="false" customHeight="false" outlineLevel="0" collapsed="false"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</row>
    <row r="648" customFormat="false" ht="15.75" hidden="false" customHeight="false" outlineLevel="0" collapsed="false"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</row>
    <row r="649" customFormat="false" ht="15.75" hidden="false" customHeight="false" outlineLevel="0" collapsed="false"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</row>
    <row r="650" customFormat="false" ht="15.75" hidden="false" customHeight="false" outlineLevel="0" collapsed="false"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</row>
    <row r="651" customFormat="false" ht="15.75" hidden="false" customHeight="false" outlineLevel="0" collapsed="false"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</row>
    <row r="652" customFormat="false" ht="15.75" hidden="false" customHeight="false" outlineLevel="0" collapsed="false"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</row>
    <row r="653" customFormat="false" ht="15.75" hidden="false" customHeight="false" outlineLevel="0" collapsed="false"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</row>
    <row r="654" customFormat="false" ht="15.75" hidden="false" customHeight="false" outlineLevel="0" collapsed="false"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</row>
    <row r="655" customFormat="false" ht="15.75" hidden="false" customHeight="false" outlineLevel="0" collapsed="false"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</row>
    <row r="656" customFormat="false" ht="15.75" hidden="false" customHeight="false" outlineLevel="0" collapsed="false"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</row>
    <row r="657" customFormat="false" ht="15.75" hidden="false" customHeight="false" outlineLevel="0" collapsed="false"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</row>
    <row r="658" customFormat="false" ht="15.75" hidden="false" customHeight="false" outlineLevel="0" collapsed="false"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</row>
    <row r="659" customFormat="false" ht="15.75" hidden="false" customHeight="false" outlineLevel="0" collapsed="false"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</row>
    <row r="660" customFormat="false" ht="15.75" hidden="false" customHeight="false" outlineLevel="0" collapsed="false"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</row>
    <row r="661" customFormat="false" ht="15.75" hidden="false" customHeight="false" outlineLevel="0" collapsed="false"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</row>
    <row r="662" customFormat="false" ht="15.75" hidden="false" customHeight="false" outlineLevel="0" collapsed="false"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</row>
    <row r="663" customFormat="false" ht="15.75" hidden="false" customHeight="false" outlineLevel="0" collapsed="false"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</row>
    <row r="664" customFormat="false" ht="15.75" hidden="false" customHeight="false" outlineLevel="0" collapsed="false"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</row>
    <row r="665" customFormat="false" ht="15.75" hidden="false" customHeight="false" outlineLevel="0" collapsed="false"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</row>
    <row r="666" customFormat="false" ht="15.75" hidden="false" customHeight="false" outlineLevel="0" collapsed="false"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</row>
    <row r="667" customFormat="false" ht="15.75" hidden="false" customHeight="false" outlineLevel="0" collapsed="false"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</row>
    <row r="668" customFormat="false" ht="15.75" hidden="false" customHeight="false" outlineLevel="0" collapsed="false"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</row>
    <row r="669" customFormat="false" ht="15.75" hidden="false" customHeight="false" outlineLevel="0" collapsed="false"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</row>
    <row r="670" customFormat="false" ht="15.75" hidden="false" customHeight="false" outlineLevel="0" collapsed="false"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</row>
    <row r="671" customFormat="false" ht="15.75" hidden="false" customHeight="false" outlineLevel="0" collapsed="false"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</row>
    <row r="672" customFormat="false" ht="15.75" hidden="false" customHeight="false" outlineLevel="0" collapsed="false"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</row>
    <row r="673" customFormat="false" ht="15.75" hidden="false" customHeight="false" outlineLevel="0" collapsed="false"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</row>
    <row r="674" customFormat="false" ht="15.75" hidden="false" customHeight="false" outlineLevel="0" collapsed="false"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</row>
    <row r="675" customFormat="false" ht="15.75" hidden="false" customHeight="false" outlineLevel="0" collapsed="false"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</row>
    <row r="676" customFormat="false" ht="15.75" hidden="false" customHeight="false" outlineLevel="0" collapsed="false"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</row>
    <row r="677" customFormat="false" ht="15.75" hidden="false" customHeight="false" outlineLevel="0" collapsed="false"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</row>
    <row r="678" customFormat="false" ht="15.75" hidden="false" customHeight="false" outlineLevel="0" collapsed="false"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</row>
    <row r="679" customFormat="false" ht="15.75" hidden="false" customHeight="false" outlineLevel="0" collapsed="false"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</row>
    <row r="680" customFormat="false" ht="15.75" hidden="false" customHeight="false" outlineLevel="0" collapsed="false"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</row>
    <row r="681" customFormat="false" ht="15.75" hidden="false" customHeight="false" outlineLevel="0" collapsed="false"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</row>
    <row r="682" customFormat="false" ht="15.75" hidden="false" customHeight="false" outlineLevel="0" collapsed="false"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</row>
    <row r="683" customFormat="false" ht="15.75" hidden="false" customHeight="false" outlineLevel="0" collapsed="false"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</row>
    <row r="684" customFormat="false" ht="15.75" hidden="false" customHeight="false" outlineLevel="0" collapsed="false"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</row>
    <row r="685" customFormat="false" ht="15.75" hidden="false" customHeight="false" outlineLevel="0" collapsed="false"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</row>
    <row r="686" customFormat="false" ht="15.75" hidden="false" customHeight="false" outlineLevel="0" collapsed="false"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</row>
    <row r="687" customFormat="false" ht="15.75" hidden="false" customHeight="false" outlineLevel="0" collapsed="false"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</row>
    <row r="688" customFormat="false" ht="15.75" hidden="false" customHeight="false" outlineLevel="0" collapsed="false"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</row>
    <row r="689" customFormat="false" ht="15.75" hidden="false" customHeight="false" outlineLevel="0" collapsed="false"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</row>
    <row r="690" customFormat="false" ht="15.75" hidden="false" customHeight="false" outlineLevel="0" collapsed="false"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</row>
    <row r="691" customFormat="false" ht="15.75" hidden="false" customHeight="false" outlineLevel="0" collapsed="false"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</row>
    <row r="692" customFormat="false" ht="15.75" hidden="false" customHeight="false" outlineLevel="0" collapsed="false"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</row>
    <row r="693" customFormat="false" ht="15.75" hidden="false" customHeight="false" outlineLevel="0" collapsed="false"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</row>
    <row r="694" customFormat="false" ht="15.75" hidden="false" customHeight="false" outlineLevel="0" collapsed="false"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</row>
    <row r="695" customFormat="false" ht="15.75" hidden="false" customHeight="false" outlineLevel="0" collapsed="false"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</row>
    <row r="696" customFormat="false" ht="15.75" hidden="false" customHeight="false" outlineLevel="0" collapsed="false"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</row>
    <row r="697" customFormat="false" ht="15.75" hidden="false" customHeight="false" outlineLevel="0" collapsed="false"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</row>
    <row r="698" customFormat="false" ht="15.75" hidden="false" customHeight="false" outlineLevel="0" collapsed="false"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</row>
    <row r="699" customFormat="false" ht="15.75" hidden="false" customHeight="false" outlineLevel="0" collapsed="false"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</row>
    <row r="700" customFormat="false" ht="15.75" hidden="false" customHeight="false" outlineLevel="0" collapsed="false"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</row>
    <row r="701" customFormat="false" ht="15.75" hidden="false" customHeight="false" outlineLevel="0" collapsed="false"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</row>
    <row r="702" customFormat="false" ht="15.75" hidden="false" customHeight="false" outlineLevel="0" collapsed="false"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</row>
    <row r="703" customFormat="false" ht="15.75" hidden="false" customHeight="false" outlineLevel="0" collapsed="false"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</row>
    <row r="704" customFormat="false" ht="15.75" hidden="false" customHeight="false" outlineLevel="0" collapsed="false"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</row>
    <row r="705" customFormat="false" ht="15.75" hidden="false" customHeight="false" outlineLevel="0" collapsed="false"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</row>
    <row r="706" customFormat="false" ht="15.75" hidden="false" customHeight="false" outlineLevel="0" collapsed="false"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</row>
    <row r="707" customFormat="false" ht="15.75" hidden="false" customHeight="false" outlineLevel="0" collapsed="false"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</row>
    <row r="708" customFormat="false" ht="15.75" hidden="false" customHeight="false" outlineLevel="0" collapsed="false"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</row>
    <row r="709" customFormat="false" ht="15.75" hidden="false" customHeight="false" outlineLevel="0" collapsed="false"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</row>
    <row r="710" customFormat="false" ht="15.75" hidden="false" customHeight="false" outlineLevel="0" collapsed="false"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</row>
    <row r="711" customFormat="false" ht="15.75" hidden="false" customHeight="false" outlineLevel="0" collapsed="false"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</row>
    <row r="712" customFormat="false" ht="15.75" hidden="false" customHeight="false" outlineLevel="0" collapsed="false"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</row>
    <row r="713" customFormat="false" ht="15.75" hidden="false" customHeight="false" outlineLevel="0" collapsed="false"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</row>
    <row r="714" customFormat="false" ht="15.75" hidden="false" customHeight="false" outlineLevel="0" collapsed="false"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</row>
    <row r="715" customFormat="false" ht="15.75" hidden="false" customHeight="false" outlineLevel="0" collapsed="false"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</row>
    <row r="716" customFormat="false" ht="15.75" hidden="false" customHeight="false" outlineLevel="0" collapsed="false"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</row>
    <row r="717" customFormat="false" ht="15.75" hidden="false" customHeight="false" outlineLevel="0" collapsed="false"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</row>
    <row r="718" customFormat="false" ht="15.75" hidden="false" customHeight="false" outlineLevel="0" collapsed="false"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</row>
    <row r="719" customFormat="false" ht="15.75" hidden="false" customHeight="false" outlineLevel="0" collapsed="false"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</row>
    <row r="720" customFormat="false" ht="15.75" hidden="false" customHeight="false" outlineLevel="0" collapsed="false"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</row>
    <row r="721" customFormat="false" ht="15.75" hidden="false" customHeight="false" outlineLevel="0" collapsed="false"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</row>
    <row r="722" customFormat="false" ht="15.75" hidden="false" customHeight="false" outlineLevel="0" collapsed="false"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</row>
    <row r="723" customFormat="false" ht="15.75" hidden="false" customHeight="false" outlineLevel="0" collapsed="false"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</row>
    <row r="724" customFormat="false" ht="15.75" hidden="false" customHeight="false" outlineLevel="0" collapsed="false"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</row>
    <row r="725" customFormat="false" ht="15.75" hidden="false" customHeight="false" outlineLevel="0" collapsed="false"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</row>
    <row r="726" customFormat="false" ht="15.75" hidden="false" customHeight="false" outlineLevel="0" collapsed="false"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</row>
    <row r="727" customFormat="false" ht="15.75" hidden="false" customHeight="false" outlineLevel="0" collapsed="false"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</row>
    <row r="728" customFormat="false" ht="15.75" hidden="false" customHeight="false" outlineLevel="0" collapsed="false"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</row>
    <row r="729" customFormat="false" ht="15.75" hidden="false" customHeight="false" outlineLevel="0" collapsed="false"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</row>
    <row r="730" customFormat="false" ht="15.75" hidden="false" customHeight="false" outlineLevel="0" collapsed="false"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</row>
    <row r="731" customFormat="false" ht="15.75" hidden="false" customHeight="false" outlineLevel="0" collapsed="false"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</row>
    <row r="732" customFormat="false" ht="15.75" hidden="false" customHeight="false" outlineLevel="0" collapsed="false"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</row>
    <row r="733" customFormat="false" ht="15.75" hidden="false" customHeight="false" outlineLevel="0" collapsed="false"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</row>
    <row r="734" customFormat="false" ht="15.75" hidden="false" customHeight="false" outlineLevel="0" collapsed="false"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</row>
    <row r="735" customFormat="false" ht="15.75" hidden="false" customHeight="false" outlineLevel="0" collapsed="false"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</row>
    <row r="736" customFormat="false" ht="15.75" hidden="false" customHeight="false" outlineLevel="0" collapsed="false"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</row>
    <row r="737" customFormat="false" ht="15.75" hidden="false" customHeight="false" outlineLevel="0" collapsed="false"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</row>
    <row r="738" customFormat="false" ht="15.75" hidden="false" customHeight="false" outlineLevel="0" collapsed="false"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</row>
    <row r="739" customFormat="false" ht="15.75" hidden="false" customHeight="false" outlineLevel="0" collapsed="false"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</row>
    <row r="740" customFormat="false" ht="15.75" hidden="false" customHeight="false" outlineLevel="0" collapsed="false"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</row>
    <row r="741" customFormat="false" ht="15.75" hidden="false" customHeight="false" outlineLevel="0" collapsed="false"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</row>
    <row r="742" customFormat="false" ht="15.75" hidden="false" customHeight="false" outlineLevel="0" collapsed="false"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</row>
    <row r="743" customFormat="false" ht="15.75" hidden="false" customHeight="false" outlineLevel="0" collapsed="false"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</row>
    <row r="744" customFormat="false" ht="15.75" hidden="false" customHeight="false" outlineLevel="0" collapsed="false"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</row>
    <row r="745" customFormat="false" ht="15.75" hidden="false" customHeight="false" outlineLevel="0" collapsed="false"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</row>
    <row r="746" customFormat="false" ht="15.75" hidden="false" customHeight="false" outlineLevel="0" collapsed="false"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</row>
    <row r="747" customFormat="false" ht="15.75" hidden="false" customHeight="false" outlineLevel="0" collapsed="false"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</row>
    <row r="748" customFormat="false" ht="15.75" hidden="false" customHeight="false" outlineLevel="0" collapsed="false"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</row>
    <row r="749" customFormat="false" ht="15.75" hidden="false" customHeight="false" outlineLevel="0" collapsed="false"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</row>
    <row r="750" customFormat="false" ht="15.75" hidden="false" customHeight="false" outlineLevel="0" collapsed="false"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</row>
    <row r="751" customFormat="false" ht="15.75" hidden="false" customHeight="false" outlineLevel="0" collapsed="false"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</row>
    <row r="752" customFormat="false" ht="15.75" hidden="false" customHeight="false" outlineLevel="0" collapsed="false"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</row>
    <row r="753" customFormat="false" ht="15.75" hidden="false" customHeight="false" outlineLevel="0" collapsed="false"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</row>
    <row r="754" customFormat="false" ht="15.75" hidden="false" customHeight="false" outlineLevel="0" collapsed="false"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</row>
    <row r="755" customFormat="false" ht="15.75" hidden="false" customHeight="false" outlineLevel="0" collapsed="false"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</row>
    <row r="756" customFormat="false" ht="15.75" hidden="false" customHeight="false" outlineLevel="0" collapsed="false"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</row>
    <row r="757" customFormat="false" ht="15.75" hidden="false" customHeight="false" outlineLevel="0" collapsed="false"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</row>
    <row r="758" customFormat="false" ht="15.75" hidden="false" customHeight="false" outlineLevel="0" collapsed="false"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</row>
    <row r="759" customFormat="false" ht="15.75" hidden="false" customHeight="false" outlineLevel="0" collapsed="false"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</row>
    <row r="760" customFormat="false" ht="15.75" hidden="false" customHeight="false" outlineLevel="0" collapsed="false"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</row>
    <row r="761" customFormat="false" ht="15.75" hidden="false" customHeight="false" outlineLevel="0" collapsed="false"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</row>
    <row r="762" customFormat="false" ht="15.75" hidden="false" customHeight="false" outlineLevel="0" collapsed="false"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</row>
    <row r="763" customFormat="false" ht="15.75" hidden="false" customHeight="false" outlineLevel="0" collapsed="false"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</row>
    <row r="764" customFormat="false" ht="15.75" hidden="false" customHeight="false" outlineLevel="0" collapsed="false"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</row>
    <row r="765" customFormat="false" ht="15.75" hidden="false" customHeight="false" outlineLevel="0" collapsed="false"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</row>
    <row r="766" customFormat="false" ht="15.75" hidden="false" customHeight="false" outlineLevel="0" collapsed="false"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</row>
    <row r="767" customFormat="false" ht="15.75" hidden="false" customHeight="false" outlineLevel="0" collapsed="false"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</row>
    <row r="768" customFormat="false" ht="15.75" hidden="false" customHeight="false" outlineLevel="0" collapsed="false"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</row>
    <row r="769" customFormat="false" ht="15.75" hidden="false" customHeight="false" outlineLevel="0" collapsed="false"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</row>
    <row r="770" customFormat="false" ht="15.75" hidden="false" customHeight="false" outlineLevel="0" collapsed="false"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</row>
    <row r="771" customFormat="false" ht="15.75" hidden="false" customHeight="false" outlineLevel="0" collapsed="false"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</row>
    <row r="772" customFormat="false" ht="15.75" hidden="false" customHeight="false" outlineLevel="0" collapsed="false"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</row>
    <row r="773" customFormat="false" ht="15.75" hidden="false" customHeight="false" outlineLevel="0" collapsed="false"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</row>
    <row r="774" customFormat="false" ht="15.75" hidden="false" customHeight="false" outlineLevel="0" collapsed="false"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</row>
    <row r="775" customFormat="false" ht="15.75" hidden="false" customHeight="false" outlineLevel="0" collapsed="false"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</row>
    <row r="776" customFormat="false" ht="15.75" hidden="false" customHeight="false" outlineLevel="0" collapsed="false"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</row>
    <row r="777" customFormat="false" ht="15.75" hidden="false" customHeight="false" outlineLevel="0" collapsed="false"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</row>
    <row r="778" customFormat="false" ht="15.75" hidden="false" customHeight="false" outlineLevel="0" collapsed="false"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</row>
    <row r="779" customFormat="false" ht="15.75" hidden="false" customHeight="false" outlineLevel="0" collapsed="false"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</row>
    <row r="780" customFormat="false" ht="15.75" hidden="false" customHeight="false" outlineLevel="0" collapsed="false"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</row>
    <row r="781" customFormat="false" ht="15.75" hidden="false" customHeight="false" outlineLevel="0" collapsed="false"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</row>
    <row r="782" customFormat="false" ht="15.75" hidden="false" customHeight="false" outlineLevel="0" collapsed="false"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</row>
    <row r="783" customFormat="false" ht="15.75" hidden="false" customHeight="false" outlineLevel="0" collapsed="false"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</row>
    <row r="784" customFormat="false" ht="15.75" hidden="false" customHeight="false" outlineLevel="0" collapsed="false"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</row>
    <row r="785" customFormat="false" ht="15.75" hidden="false" customHeight="false" outlineLevel="0" collapsed="false"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</row>
    <row r="786" customFormat="false" ht="15.75" hidden="false" customHeight="false" outlineLevel="0" collapsed="false"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</row>
    <row r="787" customFormat="false" ht="15.75" hidden="false" customHeight="false" outlineLevel="0" collapsed="false"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</row>
    <row r="788" customFormat="false" ht="15.75" hidden="false" customHeight="false" outlineLevel="0" collapsed="false"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</row>
    <row r="789" customFormat="false" ht="15.75" hidden="false" customHeight="false" outlineLevel="0" collapsed="false"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</row>
    <row r="790" customFormat="false" ht="15.75" hidden="false" customHeight="false" outlineLevel="0" collapsed="false"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</row>
    <row r="791" customFormat="false" ht="15.75" hidden="false" customHeight="false" outlineLevel="0" collapsed="false"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</row>
    <row r="792" customFormat="false" ht="15.75" hidden="false" customHeight="false" outlineLevel="0" collapsed="false"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</row>
    <row r="793" customFormat="false" ht="15.75" hidden="false" customHeight="false" outlineLevel="0" collapsed="false"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</row>
    <row r="794" customFormat="false" ht="15.75" hidden="false" customHeight="false" outlineLevel="0" collapsed="false"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</row>
    <row r="795" customFormat="false" ht="15.75" hidden="false" customHeight="false" outlineLevel="0" collapsed="false"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</row>
    <row r="796" customFormat="false" ht="15.75" hidden="false" customHeight="false" outlineLevel="0" collapsed="false"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</row>
    <row r="797" customFormat="false" ht="15.75" hidden="false" customHeight="false" outlineLevel="0" collapsed="false"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</row>
    <row r="798" customFormat="false" ht="15.75" hidden="false" customHeight="false" outlineLevel="0" collapsed="false"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</row>
    <row r="799" customFormat="false" ht="15.75" hidden="false" customHeight="false" outlineLevel="0" collapsed="false"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</row>
    <row r="800" customFormat="false" ht="15.75" hidden="false" customHeight="false" outlineLevel="0" collapsed="false"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</row>
    <row r="801" customFormat="false" ht="15.75" hidden="false" customHeight="false" outlineLevel="0" collapsed="false"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</row>
    <row r="802" customFormat="false" ht="15.75" hidden="false" customHeight="false" outlineLevel="0" collapsed="false"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</row>
    <row r="803" customFormat="false" ht="15.75" hidden="false" customHeight="false" outlineLevel="0" collapsed="false"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</row>
    <row r="804" customFormat="false" ht="15.75" hidden="false" customHeight="false" outlineLevel="0" collapsed="false"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</row>
    <row r="805" customFormat="false" ht="15.75" hidden="false" customHeight="false" outlineLevel="0" collapsed="false"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</row>
    <row r="806" customFormat="false" ht="15.75" hidden="false" customHeight="false" outlineLevel="0" collapsed="false"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</row>
    <row r="807" customFormat="false" ht="15.75" hidden="false" customHeight="false" outlineLevel="0" collapsed="false"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</row>
    <row r="808" customFormat="false" ht="15.75" hidden="false" customHeight="false" outlineLevel="0" collapsed="false"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</row>
    <row r="809" customFormat="false" ht="15.75" hidden="false" customHeight="false" outlineLevel="0" collapsed="false"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</row>
    <row r="810" customFormat="false" ht="15.75" hidden="false" customHeight="false" outlineLevel="0" collapsed="false"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</row>
    <row r="811" customFormat="false" ht="15.75" hidden="false" customHeight="false" outlineLevel="0" collapsed="false"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</row>
    <row r="812" customFormat="false" ht="15.75" hidden="false" customHeight="false" outlineLevel="0" collapsed="false"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</row>
    <row r="813" customFormat="false" ht="15.75" hidden="false" customHeight="false" outlineLevel="0" collapsed="false"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</row>
    <row r="814" customFormat="false" ht="15.75" hidden="false" customHeight="false" outlineLevel="0" collapsed="false"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</row>
    <row r="815" customFormat="false" ht="15.75" hidden="false" customHeight="false" outlineLevel="0" collapsed="false"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</row>
    <row r="816" customFormat="false" ht="15.75" hidden="false" customHeight="false" outlineLevel="0" collapsed="false"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</row>
    <row r="817" customFormat="false" ht="15.75" hidden="false" customHeight="false" outlineLevel="0" collapsed="false"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</row>
    <row r="818" customFormat="false" ht="15.75" hidden="false" customHeight="false" outlineLevel="0" collapsed="false"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</row>
    <row r="819" customFormat="false" ht="15.75" hidden="false" customHeight="false" outlineLevel="0" collapsed="false"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</row>
    <row r="820" customFormat="false" ht="15.75" hidden="false" customHeight="false" outlineLevel="0" collapsed="false"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</row>
    <row r="821" customFormat="false" ht="15.75" hidden="false" customHeight="false" outlineLevel="0" collapsed="false"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</row>
    <row r="822" customFormat="false" ht="15.75" hidden="false" customHeight="false" outlineLevel="0" collapsed="false"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</row>
    <row r="823" customFormat="false" ht="15.75" hidden="false" customHeight="false" outlineLevel="0" collapsed="false"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</row>
    <row r="824" customFormat="false" ht="15.75" hidden="false" customHeight="false" outlineLevel="0" collapsed="false"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</row>
    <row r="825" customFormat="false" ht="15.75" hidden="false" customHeight="false" outlineLevel="0" collapsed="false"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</row>
    <row r="826" customFormat="false" ht="15.75" hidden="false" customHeight="false" outlineLevel="0" collapsed="false"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</row>
    <row r="827" customFormat="false" ht="15.75" hidden="false" customHeight="false" outlineLevel="0" collapsed="false"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</row>
    <row r="828" customFormat="false" ht="15.75" hidden="false" customHeight="false" outlineLevel="0" collapsed="false"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</row>
    <row r="862" customFormat="false" ht="15.75" hidden="false" customHeight="false" outlineLevel="0" collapsed="false">
      <c r="D862" s="4"/>
      <c r="E862" s="4"/>
      <c r="F862" s="4"/>
      <c r="G862" s="4"/>
      <c r="H862" s="4"/>
      <c r="I862" s="4"/>
      <c r="J862" s="4"/>
      <c r="K862" s="4"/>
      <c r="L862" s="4"/>
    </row>
    <row r="863" customFormat="false" ht="15.75" hidden="false" customHeight="false" outlineLevel="0" collapsed="false">
      <c r="D863" s="4"/>
      <c r="E863" s="4"/>
      <c r="F863" s="4"/>
      <c r="G863" s="4"/>
      <c r="H863" s="4"/>
      <c r="I863" s="4"/>
      <c r="J863" s="4"/>
      <c r="K863" s="4"/>
      <c r="L863" s="4"/>
    </row>
    <row r="903" customFormat="false" ht="15.75" hidden="false" customHeight="false" outlineLevel="0" collapsed="false">
      <c r="D903" s="4"/>
      <c r="E903" s="4"/>
      <c r="F903" s="4"/>
      <c r="G903" s="4"/>
      <c r="H903" s="4"/>
      <c r="I903" s="4"/>
      <c r="J903" s="4"/>
      <c r="K903" s="4"/>
      <c r="L903" s="4"/>
    </row>
    <row r="944" customFormat="false" ht="15.75" hidden="false" customHeight="false" outlineLevel="0" collapsed="false">
      <c r="D944" s="4"/>
      <c r="E944" s="4"/>
      <c r="F944" s="4"/>
      <c r="G944" s="4"/>
      <c r="H944" s="4"/>
      <c r="I944" s="4"/>
      <c r="J944" s="4"/>
      <c r="K944" s="4"/>
      <c r="L944" s="4"/>
    </row>
  </sheetData>
  <mergeCells count="6">
    <mergeCell ref="Q9:R9"/>
    <mergeCell ref="Q14:R14"/>
    <mergeCell ref="P20:Q20"/>
    <mergeCell ref="P21:Q21"/>
    <mergeCell ref="P22:Q22"/>
    <mergeCell ref="P23:Q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5.75"/>
  </cols>
  <sheetData>
    <row r="1" customFormat="false" ht="15.75" hidden="false" customHeight="false" outlineLevel="0" collapsed="false">
      <c r="A1" s="21" t="s">
        <v>104</v>
      </c>
      <c r="B1" s="21"/>
      <c r="C1" s="21"/>
    </row>
    <row r="3" customFormat="false" ht="15.75" hidden="false" customHeight="false" outlineLevel="0" collapsed="false">
      <c r="A3" s="22" t="s">
        <v>105</v>
      </c>
      <c r="B3" s="22"/>
      <c r="C3" s="22"/>
      <c r="D3" s="22"/>
      <c r="E3" s="22"/>
      <c r="F3" s="22"/>
      <c r="G3" s="22"/>
      <c r="H3" s="22"/>
      <c r="I3" s="22"/>
    </row>
    <row r="5" customFormat="false" ht="15.75" hidden="false" customHeight="false" outlineLevel="0" collapsed="false">
      <c r="A5" s="23" t="s">
        <v>106</v>
      </c>
      <c r="B5" s="23"/>
    </row>
    <row r="6" customFormat="false" ht="15.75" hidden="false" customHeight="false" outlineLevel="0" collapsed="false">
      <c r="A6" s="2" t="s">
        <v>107</v>
      </c>
    </row>
    <row r="7" customFormat="false" ht="15.75" hidden="false" customHeight="false" outlineLevel="0" collapsed="false">
      <c r="A7" s="2" t="s">
        <v>108</v>
      </c>
    </row>
    <row r="9" customFormat="false" ht="15.75" hidden="false" customHeight="false" outlineLevel="0" collapsed="false">
      <c r="A9" s="24" t="s">
        <v>109</v>
      </c>
    </row>
    <row r="10" customFormat="false" ht="15.75" hidden="false" customHeight="false" outlineLevel="0" collapsed="false">
      <c r="A10" s="25" t="s">
        <v>110</v>
      </c>
      <c r="B10" s="25"/>
      <c r="C10" s="25"/>
      <c r="D10" s="25"/>
      <c r="E10" s="25"/>
      <c r="F10" s="25"/>
    </row>
    <row r="11" customFormat="false" ht="15.75" hidden="false" customHeight="false" outlineLevel="0" collapsed="false">
      <c r="A11" s="25" t="s">
        <v>111</v>
      </c>
      <c r="B11" s="25"/>
      <c r="C11" s="25"/>
    </row>
    <row r="12" customFormat="false" ht="15.75" hidden="false" customHeight="false" outlineLevel="0" collapsed="false">
      <c r="A12" s="25" t="s">
        <v>112</v>
      </c>
      <c r="B12" s="25"/>
      <c r="C12" s="25"/>
      <c r="D12" s="25"/>
    </row>
    <row r="13" customFormat="false" ht="15.75" hidden="false" customHeight="false" outlineLevel="0" collapsed="false">
      <c r="A13" s="25" t="s">
        <v>113</v>
      </c>
      <c r="B13" s="25"/>
      <c r="C13" s="25"/>
      <c r="D13" s="25"/>
      <c r="E13" s="25"/>
    </row>
    <row r="14" customFormat="false" ht="15.75" hidden="false" customHeight="false" outlineLevel="0" collapsed="false">
      <c r="A14" s="25" t="s">
        <v>114</v>
      </c>
      <c r="B14" s="25"/>
      <c r="C14" s="25"/>
      <c r="D14" s="25"/>
      <c r="E14" s="25"/>
    </row>
    <row r="15" customFormat="false" ht="15.75" hidden="false" customHeight="false" outlineLevel="0" collapsed="false">
      <c r="A15" s="25" t="s">
        <v>115</v>
      </c>
      <c r="B15" s="25"/>
      <c r="C15" s="25"/>
      <c r="D15" s="25"/>
      <c r="E15" s="25"/>
    </row>
    <row r="17" customFormat="false" ht="15.75" hidden="false" customHeight="false" outlineLevel="0" collapsed="false">
      <c r="A17" s="2"/>
    </row>
  </sheetData>
  <mergeCells count="8">
    <mergeCell ref="A1:C1"/>
    <mergeCell ref="A3:I3"/>
    <mergeCell ref="A10:F10"/>
    <mergeCell ref="A11:C11"/>
    <mergeCell ref="A12:D12"/>
    <mergeCell ref="A13:E13"/>
    <mergeCell ref="A14:E14"/>
    <mergeCell ref="A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2026-09-29T06:16:41Z</dcterms:created>
  <dc:creator>openpyxl</dc:creator>
  <dc:description/>
  <dc:language>en-US</dc:language>
  <cp:lastModifiedBy/>
  <dcterms:modified xsi:type="dcterms:W3CDTF">2026-09-29T06:16:41Z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